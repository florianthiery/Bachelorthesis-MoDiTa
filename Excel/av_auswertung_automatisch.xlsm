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DieseArbeitsmappe" defaultThemeVersion="124226"/>
  <bookViews>
    <workbookView xWindow="360" yWindow="390" windowWidth="18675" windowHeight="8205"/>
  </bookViews>
  <sheets>
    <sheet name="Plot Values" sheetId="1" r:id="rId1"/>
    <sheet name="VBA" sheetId="2" r:id="rId2"/>
    <sheet name="Auswertung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33" i="3" l="1"/>
  <c r="B32" i="3"/>
  <c r="B31" i="3"/>
  <c r="B30" i="3"/>
  <c r="A33" i="3"/>
  <c r="C33" i="3" s="1"/>
  <c r="A32" i="3"/>
  <c r="A31" i="3"/>
  <c r="C31" i="3" s="1"/>
  <c r="A30" i="3"/>
  <c r="C30" i="3" s="1"/>
  <c r="C32" i="3"/>
  <c r="B17" i="3" l="1"/>
  <c r="A17" i="3"/>
  <c r="L4" i="3"/>
  <c r="M6" i="3" l="1"/>
  <c r="L6" i="3" s="1"/>
  <c r="F19" i="3" l="1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8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A67" i="3"/>
  <c r="B67" i="3"/>
  <c r="A55" i="3"/>
  <c r="A54" i="3"/>
  <c r="A65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29" i="3"/>
  <c r="B28" i="3"/>
  <c r="B27" i="3"/>
  <c r="B26" i="3"/>
  <c r="B25" i="3"/>
  <c r="B24" i="3"/>
  <c r="B23" i="3"/>
  <c r="B22" i="3"/>
  <c r="B21" i="3"/>
  <c r="B20" i="3"/>
  <c r="B19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6" i="3"/>
  <c r="A64" i="3"/>
  <c r="A63" i="3"/>
  <c r="A62" i="3"/>
  <c r="A61" i="3"/>
  <c r="A60" i="3"/>
  <c r="A59" i="3"/>
  <c r="A58" i="3"/>
  <c r="A57" i="3"/>
  <c r="A56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29" i="3"/>
  <c r="A28" i="3"/>
  <c r="A27" i="3"/>
  <c r="A26" i="3"/>
  <c r="A25" i="3"/>
  <c r="A24" i="3"/>
  <c r="A23" i="3"/>
  <c r="A22" i="3"/>
  <c r="A21" i="3"/>
  <c r="A20" i="3"/>
  <c r="A19" i="3"/>
  <c r="A18" i="3"/>
  <c r="B18" i="3"/>
  <c r="M43" i="3" l="1"/>
  <c r="L43" i="3"/>
  <c r="C43" i="3"/>
  <c r="D43" i="3" s="1"/>
  <c r="M47" i="3"/>
  <c r="L47" i="3"/>
  <c r="C47" i="3"/>
  <c r="D47" i="3" s="1"/>
  <c r="M51" i="3"/>
  <c r="L51" i="3"/>
  <c r="C51" i="3"/>
  <c r="D51" i="3" s="1"/>
  <c r="M57" i="3"/>
  <c r="L57" i="3"/>
  <c r="D57" i="3"/>
  <c r="C57" i="3"/>
  <c r="M63" i="3"/>
  <c r="L63" i="3"/>
  <c r="D63" i="3"/>
  <c r="C63" i="3"/>
  <c r="M69" i="3"/>
  <c r="L69" i="3"/>
  <c r="D69" i="3"/>
  <c r="C69" i="3"/>
  <c r="L42" i="3"/>
  <c r="M42" i="3"/>
  <c r="C42" i="3"/>
  <c r="D42" i="3" s="1"/>
  <c r="L44" i="3"/>
  <c r="D44" i="3"/>
  <c r="C44" i="3"/>
  <c r="M44" i="3"/>
  <c r="L46" i="3"/>
  <c r="D46" i="3"/>
  <c r="C46" i="3"/>
  <c r="M46" i="3"/>
  <c r="L48" i="3"/>
  <c r="C48" i="3"/>
  <c r="D48" i="3" s="1"/>
  <c r="M48" i="3"/>
  <c r="L50" i="3"/>
  <c r="C50" i="3"/>
  <c r="D50" i="3" s="1"/>
  <c r="M50" i="3"/>
  <c r="L52" i="3"/>
  <c r="D52" i="3"/>
  <c r="C52" i="3"/>
  <c r="M52" i="3"/>
  <c r="L56" i="3"/>
  <c r="D56" i="3"/>
  <c r="C56" i="3"/>
  <c r="M56" i="3"/>
  <c r="L58" i="3"/>
  <c r="D58" i="3"/>
  <c r="C58" i="3"/>
  <c r="M58" i="3"/>
  <c r="L60" i="3"/>
  <c r="D60" i="3"/>
  <c r="C60" i="3"/>
  <c r="M60" i="3"/>
  <c r="L62" i="3"/>
  <c r="D62" i="3"/>
  <c r="C62" i="3"/>
  <c r="M62" i="3"/>
  <c r="L64" i="3"/>
  <c r="D64" i="3"/>
  <c r="C64" i="3"/>
  <c r="M64" i="3"/>
  <c r="L68" i="3"/>
  <c r="D68" i="3"/>
  <c r="C68" i="3"/>
  <c r="M68" i="3"/>
  <c r="L70" i="3"/>
  <c r="D70" i="3"/>
  <c r="C70" i="3"/>
  <c r="M70" i="3"/>
  <c r="L72" i="3"/>
  <c r="D72" i="3"/>
  <c r="C72" i="3"/>
  <c r="M72" i="3"/>
  <c r="L74" i="3"/>
  <c r="D74" i="3"/>
  <c r="C74" i="3"/>
  <c r="M74" i="3"/>
  <c r="L76" i="3"/>
  <c r="D76" i="3"/>
  <c r="C76" i="3"/>
  <c r="M76" i="3"/>
  <c r="L78" i="3"/>
  <c r="D78" i="3"/>
  <c r="C78" i="3"/>
  <c r="M78" i="3"/>
  <c r="L80" i="3"/>
  <c r="D80" i="3"/>
  <c r="C80" i="3"/>
  <c r="M80" i="3"/>
  <c r="L82" i="3"/>
  <c r="D82" i="3"/>
  <c r="C82" i="3"/>
  <c r="M82" i="3"/>
  <c r="L84" i="3"/>
  <c r="D84" i="3"/>
  <c r="C84" i="3"/>
  <c r="M84" i="3"/>
  <c r="L86" i="3"/>
  <c r="D86" i="3"/>
  <c r="C86" i="3"/>
  <c r="M86" i="3"/>
  <c r="L88" i="3"/>
  <c r="D88" i="3"/>
  <c r="C88" i="3"/>
  <c r="M88" i="3"/>
  <c r="L90" i="3"/>
  <c r="D90" i="3"/>
  <c r="C90" i="3"/>
  <c r="M90" i="3"/>
  <c r="L92" i="3"/>
  <c r="D92" i="3"/>
  <c r="C92" i="3"/>
  <c r="M92" i="3"/>
  <c r="L94" i="3"/>
  <c r="D94" i="3"/>
  <c r="C94" i="3"/>
  <c r="M94" i="3"/>
  <c r="L96" i="3"/>
  <c r="D96" i="3"/>
  <c r="C96" i="3"/>
  <c r="M96" i="3"/>
  <c r="L98" i="3"/>
  <c r="D98" i="3"/>
  <c r="C98" i="3"/>
  <c r="M98" i="3"/>
  <c r="L100" i="3"/>
  <c r="D100" i="3"/>
  <c r="C100" i="3"/>
  <c r="M100" i="3"/>
  <c r="L102" i="3"/>
  <c r="D102" i="3"/>
  <c r="C102" i="3"/>
  <c r="M102" i="3"/>
  <c r="L104" i="3"/>
  <c r="D104" i="3"/>
  <c r="C104" i="3"/>
  <c r="M104" i="3"/>
  <c r="L106" i="3"/>
  <c r="D106" i="3"/>
  <c r="C106" i="3"/>
  <c r="M106" i="3"/>
  <c r="L108" i="3"/>
  <c r="D108" i="3"/>
  <c r="M108" i="3"/>
  <c r="C108" i="3"/>
  <c r="L110" i="3"/>
  <c r="D110" i="3"/>
  <c r="C110" i="3"/>
  <c r="M110" i="3"/>
  <c r="L112" i="3"/>
  <c r="D112" i="3"/>
  <c r="M112" i="3"/>
  <c r="C112" i="3"/>
  <c r="L114" i="3"/>
  <c r="D114" i="3"/>
  <c r="C114" i="3"/>
  <c r="M114" i="3"/>
  <c r="L116" i="3"/>
  <c r="M116" i="3"/>
  <c r="D116" i="3"/>
  <c r="C116" i="3"/>
  <c r="L54" i="3"/>
  <c r="D54" i="3"/>
  <c r="C54" i="3"/>
  <c r="M54" i="3"/>
  <c r="G18" i="3"/>
  <c r="I18" i="3" s="1"/>
  <c r="J18" i="3" s="1"/>
  <c r="G116" i="3"/>
  <c r="I116" i="3" s="1"/>
  <c r="J116" i="3" s="1"/>
  <c r="G114" i="3"/>
  <c r="I114" i="3" s="1"/>
  <c r="J114" i="3" s="1"/>
  <c r="G112" i="3"/>
  <c r="I112" i="3" s="1"/>
  <c r="J112" i="3" s="1"/>
  <c r="G110" i="3"/>
  <c r="I110" i="3" s="1"/>
  <c r="J110" i="3" s="1"/>
  <c r="G108" i="3"/>
  <c r="I108" i="3" s="1"/>
  <c r="J108" i="3" s="1"/>
  <c r="G106" i="3"/>
  <c r="I106" i="3" s="1"/>
  <c r="J106" i="3" s="1"/>
  <c r="G104" i="3"/>
  <c r="I104" i="3" s="1"/>
  <c r="J104" i="3" s="1"/>
  <c r="G102" i="3"/>
  <c r="I102" i="3" s="1"/>
  <c r="J102" i="3" s="1"/>
  <c r="G100" i="3"/>
  <c r="I100" i="3" s="1"/>
  <c r="J100" i="3" s="1"/>
  <c r="G98" i="3"/>
  <c r="I98" i="3" s="1"/>
  <c r="J98" i="3" s="1"/>
  <c r="G96" i="3"/>
  <c r="I96" i="3" s="1"/>
  <c r="J96" i="3" s="1"/>
  <c r="G94" i="3"/>
  <c r="I94" i="3" s="1"/>
  <c r="J94" i="3" s="1"/>
  <c r="G92" i="3"/>
  <c r="I92" i="3" s="1"/>
  <c r="J92" i="3" s="1"/>
  <c r="G90" i="3"/>
  <c r="I90" i="3" s="1"/>
  <c r="J90" i="3" s="1"/>
  <c r="G88" i="3"/>
  <c r="I88" i="3" s="1"/>
  <c r="J88" i="3" s="1"/>
  <c r="G86" i="3"/>
  <c r="I86" i="3" s="1"/>
  <c r="J86" i="3" s="1"/>
  <c r="G84" i="3"/>
  <c r="I84" i="3" s="1"/>
  <c r="J84" i="3" s="1"/>
  <c r="G82" i="3"/>
  <c r="I82" i="3" s="1"/>
  <c r="J82" i="3" s="1"/>
  <c r="G80" i="3"/>
  <c r="I80" i="3" s="1"/>
  <c r="J80" i="3" s="1"/>
  <c r="G78" i="3"/>
  <c r="I78" i="3" s="1"/>
  <c r="J78" i="3" s="1"/>
  <c r="G76" i="3"/>
  <c r="I76" i="3" s="1"/>
  <c r="J76" i="3" s="1"/>
  <c r="G74" i="3"/>
  <c r="I74" i="3" s="1"/>
  <c r="J74" i="3" s="1"/>
  <c r="G72" i="3"/>
  <c r="I72" i="3" s="1"/>
  <c r="J72" i="3" s="1"/>
  <c r="G70" i="3"/>
  <c r="I70" i="3" s="1"/>
  <c r="J70" i="3" s="1"/>
  <c r="G68" i="3"/>
  <c r="I68" i="3" s="1"/>
  <c r="J68" i="3" s="1"/>
  <c r="G66" i="3"/>
  <c r="I66" i="3" s="1"/>
  <c r="J66" i="3" s="1"/>
  <c r="G64" i="3"/>
  <c r="I64" i="3" s="1"/>
  <c r="J64" i="3" s="1"/>
  <c r="G62" i="3"/>
  <c r="I62" i="3" s="1"/>
  <c r="J62" i="3" s="1"/>
  <c r="G60" i="3"/>
  <c r="I60" i="3" s="1"/>
  <c r="J60" i="3" s="1"/>
  <c r="G58" i="3"/>
  <c r="I58" i="3" s="1"/>
  <c r="J58" i="3" s="1"/>
  <c r="G56" i="3"/>
  <c r="I56" i="3" s="1"/>
  <c r="J56" i="3" s="1"/>
  <c r="G54" i="3"/>
  <c r="I54" i="3" s="1"/>
  <c r="J54" i="3" s="1"/>
  <c r="G52" i="3"/>
  <c r="I52" i="3" s="1"/>
  <c r="J52" i="3" s="1"/>
  <c r="G50" i="3"/>
  <c r="I50" i="3" s="1"/>
  <c r="J50" i="3" s="1"/>
  <c r="G48" i="3"/>
  <c r="I48" i="3" s="1"/>
  <c r="J48" i="3" s="1"/>
  <c r="G46" i="3"/>
  <c r="I46" i="3" s="1"/>
  <c r="J46" i="3" s="1"/>
  <c r="G44" i="3"/>
  <c r="I44" i="3" s="1"/>
  <c r="J44" i="3" s="1"/>
  <c r="G42" i="3"/>
  <c r="I42" i="3" s="1"/>
  <c r="J42" i="3" s="1"/>
  <c r="G40" i="3"/>
  <c r="I40" i="3" s="1"/>
  <c r="J40" i="3" s="1"/>
  <c r="G38" i="3"/>
  <c r="I38" i="3" s="1"/>
  <c r="J38" i="3" s="1"/>
  <c r="G36" i="3"/>
  <c r="I36" i="3" s="1"/>
  <c r="J36" i="3" s="1"/>
  <c r="G34" i="3"/>
  <c r="I34" i="3" s="1"/>
  <c r="J34" i="3" s="1"/>
  <c r="G32" i="3"/>
  <c r="I32" i="3" s="1"/>
  <c r="J32" i="3" s="1"/>
  <c r="G30" i="3"/>
  <c r="I30" i="3" s="1"/>
  <c r="J30" i="3" s="1"/>
  <c r="G28" i="3"/>
  <c r="I28" i="3" s="1"/>
  <c r="J28" i="3" s="1"/>
  <c r="G26" i="3"/>
  <c r="I26" i="3" s="1"/>
  <c r="J26" i="3" s="1"/>
  <c r="G24" i="3"/>
  <c r="I24" i="3" s="1"/>
  <c r="J24" i="3" s="1"/>
  <c r="G22" i="3"/>
  <c r="I22" i="3" s="1"/>
  <c r="J22" i="3" s="1"/>
  <c r="G20" i="3"/>
  <c r="I20" i="3" s="1"/>
  <c r="J20" i="3" s="1"/>
  <c r="M45" i="3"/>
  <c r="L45" i="3"/>
  <c r="C45" i="3"/>
  <c r="D45" i="3" s="1"/>
  <c r="M49" i="3"/>
  <c r="L49" i="3"/>
  <c r="D49" i="3"/>
  <c r="C49" i="3"/>
  <c r="M53" i="3"/>
  <c r="L53" i="3"/>
  <c r="C53" i="3"/>
  <c r="D53" i="3" s="1"/>
  <c r="M59" i="3"/>
  <c r="L59" i="3"/>
  <c r="C59" i="3"/>
  <c r="D59" i="3" s="1"/>
  <c r="M61" i="3"/>
  <c r="L61" i="3"/>
  <c r="D61" i="3"/>
  <c r="C61" i="3"/>
  <c r="L66" i="3"/>
  <c r="C66" i="3"/>
  <c r="D66" i="3" s="1"/>
  <c r="M66" i="3"/>
  <c r="M71" i="3"/>
  <c r="L71" i="3"/>
  <c r="D71" i="3"/>
  <c r="C71" i="3"/>
  <c r="M73" i="3"/>
  <c r="L73" i="3"/>
  <c r="D73" i="3"/>
  <c r="C73" i="3"/>
  <c r="M75" i="3"/>
  <c r="L75" i="3"/>
  <c r="D75" i="3"/>
  <c r="C75" i="3"/>
  <c r="M77" i="3"/>
  <c r="L77" i="3"/>
  <c r="D77" i="3"/>
  <c r="C77" i="3"/>
  <c r="M79" i="3"/>
  <c r="L79" i="3"/>
  <c r="D79" i="3"/>
  <c r="C79" i="3"/>
  <c r="M81" i="3"/>
  <c r="L81" i="3"/>
  <c r="D81" i="3"/>
  <c r="C81" i="3"/>
  <c r="M83" i="3"/>
  <c r="L83" i="3"/>
  <c r="D83" i="3"/>
  <c r="C83" i="3"/>
  <c r="M85" i="3"/>
  <c r="L85" i="3"/>
  <c r="D85" i="3"/>
  <c r="C85" i="3"/>
  <c r="M87" i="3"/>
  <c r="L87" i="3"/>
  <c r="D87" i="3"/>
  <c r="C87" i="3"/>
  <c r="M89" i="3"/>
  <c r="L89" i="3"/>
  <c r="D89" i="3"/>
  <c r="C89" i="3"/>
  <c r="M91" i="3"/>
  <c r="L91" i="3"/>
  <c r="D91" i="3"/>
  <c r="C91" i="3"/>
  <c r="M93" i="3"/>
  <c r="L93" i="3"/>
  <c r="D93" i="3"/>
  <c r="C93" i="3"/>
  <c r="M95" i="3"/>
  <c r="L95" i="3"/>
  <c r="D95" i="3"/>
  <c r="C95" i="3"/>
  <c r="M97" i="3"/>
  <c r="L97" i="3"/>
  <c r="D97" i="3"/>
  <c r="C97" i="3"/>
  <c r="M99" i="3"/>
  <c r="L99" i="3"/>
  <c r="D99" i="3"/>
  <c r="C99" i="3"/>
  <c r="M101" i="3"/>
  <c r="L101" i="3"/>
  <c r="D101" i="3"/>
  <c r="C101" i="3"/>
  <c r="M103" i="3"/>
  <c r="L103" i="3"/>
  <c r="D103" i="3"/>
  <c r="C103" i="3"/>
  <c r="M105" i="3"/>
  <c r="L105" i="3"/>
  <c r="D105" i="3"/>
  <c r="C105" i="3"/>
  <c r="M107" i="3"/>
  <c r="L107" i="3"/>
  <c r="D107" i="3"/>
  <c r="C107" i="3"/>
  <c r="M109" i="3"/>
  <c r="L109" i="3"/>
  <c r="D109" i="3"/>
  <c r="C109" i="3"/>
  <c r="M111" i="3"/>
  <c r="L111" i="3"/>
  <c r="D111" i="3"/>
  <c r="C111" i="3"/>
  <c r="M113" i="3"/>
  <c r="L113" i="3"/>
  <c r="D113" i="3"/>
  <c r="C113" i="3"/>
  <c r="M115" i="3"/>
  <c r="L115" i="3"/>
  <c r="D115" i="3"/>
  <c r="C115" i="3"/>
  <c r="M65" i="3"/>
  <c r="L65" i="3"/>
  <c r="D65" i="3"/>
  <c r="C65" i="3"/>
  <c r="M55" i="3"/>
  <c r="L55" i="3"/>
  <c r="D55" i="3"/>
  <c r="C55" i="3"/>
  <c r="M67" i="3"/>
  <c r="L67" i="3"/>
  <c r="C67" i="3"/>
  <c r="D67" i="3" s="1"/>
  <c r="G19" i="3"/>
  <c r="I19" i="3" s="1"/>
  <c r="J19" i="3" s="1"/>
  <c r="G115" i="3"/>
  <c r="I115" i="3" s="1"/>
  <c r="J115" i="3" s="1"/>
  <c r="G113" i="3"/>
  <c r="I113" i="3" s="1"/>
  <c r="J113" i="3" s="1"/>
  <c r="G111" i="3"/>
  <c r="I111" i="3" s="1"/>
  <c r="J111" i="3" s="1"/>
  <c r="G109" i="3"/>
  <c r="I109" i="3" s="1"/>
  <c r="J109" i="3" s="1"/>
  <c r="G107" i="3"/>
  <c r="I107" i="3" s="1"/>
  <c r="J107" i="3" s="1"/>
  <c r="G105" i="3"/>
  <c r="I105" i="3" s="1"/>
  <c r="J105" i="3" s="1"/>
  <c r="G103" i="3"/>
  <c r="I103" i="3" s="1"/>
  <c r="J103" i="3" s="1"/>
  <c r="G101" i="3"/>
  <c r="I101" i="3" s="1"/>
  <c r="J101" i="3" s="1"/>
  <c r="G99" i="3"/>
  <c r="I99" i="3" s="1"/>
  <c r="J99" i="3" s="1"/>
  <c r="G97" i="3"/>
  <c r="I97" i="3" s="1"/>
  <c r="J97" i="3" s="1"/>
  <c r="G95" i="3"/>
  <c r="I95" i="3" s="1"/>
  <c r="J95" i="3" s="1"/>
  <c r="G93" i="3"/>
  <c r="I93" i="3" s="1"/>
  <c r="J93" i="3" s="1"/>
  <c r="G91" i="3"/>
  <c r="I91" i="3" s="1"/>
  <c r="J91" i="3" s="1"/>
  <c r="G89" i="3"/>
  <c r="I89" i="3" s="1"/>
  <c r="J89" i="3" s="1"/>
  <c r="G87" i="3"/>
  <c r="I87" i="3" s="1"/>
  <c r="J87" i="3" s="1"/>
  <c r="G85" i="3"/>
  <c r="I85" i="3" s="1"/>
  <c r="J85" i="3" s="1"/>
  <c r="G83" i="3"/>
  <c r="I83" i="3" s="1"/>
  <c r="J83" i="3" s="1"/>
  <c r="G81" i="3"/>
  <c r="I81" i="3" s="1"/>
  <c r="J81" i="3" s="1"/>
  <c r="G79" i="3"/>
  <c r="I79" i="3" s="1"/>
  <c r="J79" i="3" s="1"/>
  <c r="G77" i="3"/>
  <c r="I77" i="3" s="1"/>
  <c r="J77" i="3" s="1"/>
  <c r="G75" i="3"/>
  <c r="I75" i="3" s="1"/>
  <c r="J75" i="3" s="1"/>
  <c r="G73" i="3"/>
  <c r="I73" i="3" s="1"/>
  <c r="J73" i="3" s="1"/>
  <c r="G71" i="3"/>
  <c r="I71" i="3" s="1"/>
  <c r="J71" i="3" s="1"/>
  <c r="G69" i="3"/>
  <c r="I69" i="3" s="1"/>
  <c r="J69" i="3" s="1"/>
  <c r="G67" i="3"/>
  <c r="I67" i="3" s="1"/>
  <c r="J67" i="3" s="1"/>
  <c r="G65" i="3"/>
  <c r="I65" i="3" s="1"/>
  <c r="J65" i="3" s="1"/>
  <c r="G63" i="3"/>
  <c r="I63" i="3" s="1"/>
  <c r="J63" i="3" s="1"/>
  <c r="G61" i="3"/>
  <c r="I61" i="3" s="1"/>
  <c r="J61" i="3" s="1"/>
  <c r="G59" i="3"/>
  <c r="I59" i="3" s="1"/>
  <c r="J59" i="3" s="1"/>
  <c r="G57" i="3"/>
  <c r="I57" i="3" s="1"/>
  <c r="J57" i="3" s="1"/>
  <c r="G55" i="3"/>
  <c r="I55" i="3" s="1"/>
  <c r="J55" i="3" s="1"/>
  <c r="G53" i="3"/>
  <c r="I53" i="3" s="1"/>
  <c r="J53" i="3" s="1"/>
  <c r="G51" i="3"/>
  <c r="I51" i="3" s="1"/>
  <c r="J51" i="3" s="1"/>
  <c r="G49" i="3"/>
  <c r="I49" i="3" s="1"/>
  <c r="J49" i="3" s="1"/>
  <c r="G47" i="3"/>
  <c r="I47" i="3" s="1"/>
  <c r="J47" i="3" s="1"/>
  <c r="G45" i="3"/>
  <c r="I45" i="3" s="1"/>
  <c r="J45" i="3" s="1"/>
  <c r="G43" i="3"/>
  <c r="I43" i="3" s="1"/>
  <c r="J43" i="3" s="1"/>
  <c r="G41" i="3"/>
  <c r="I41" i="3" s="1"/>
  <c r="J41" i="3" s="1"/>
  <c r="G39" i="3"/>
  <c r="I39" i="3" s="1"/>
  <c r="J39" i="3" s="1"/>
  <c r="G37" i="3"/>
  <c r="I37" i="3" s="1"/>
  <c r="J37" i="3" s="1"/>
  <c r="G35" i="3"/>
  <c r="I35" i="3" s="1"/>
  <c r="J35" i="3" s="1"/>
  <c r="G33" i="3"/>
  <c r="I33" i="3" s="1"/>
  <c r="J33" i="3" s="1"/>
  <c r="G31" i="3"/>
  <c r="I31" i="3" s="1"/>
  <c r="J31" i="3" s="1"/>
  <c r="G29" i="3"/>
  <c r="I29" i="3" s="1"/>
  <c r="J29" i="3" s="1"/>
  <c r="G27" i="3"/>
  <c r="I27" i="3" s="1"/>
  <c r="J27" i="3" s="1"/>
  <c r="G25" i="3"/>
  <c r="I25" i="3" s="1"/>
  <c r="J25" i="3" s="1"/>
  <c r="G23" i="3"/>
  <c r="I23" i="3" s="1"/>
  <c r="J23" i="3" s="1"/>
  <c r="G21" i="3"/>
  <c r="I21" i="3" s="1"/>
  <c r="J21" i="3" s="1"/>
  <c r="M41" i="3"/>
  <c r="L41" i="3"/>
  <c r="C41" i="3"/>
  <c r="L40" i="3"/>
  <c r="M40" i="3"/>
  <c r="C40" i="3"/>
  <c r="M39" i="3"/>
  <c r="L39" i="3"/>
  <c r="C39" i="3"/>
  <c r="L38" i="3"/>
  <c r="M38" i="3"/>
  <c r="C38" i="3"/>
  <c r="M37" i="3"/>
  <c r="L37" i="3"/>
  <c r="C37" i="3"/>
  <c r="L36" i="3"/>
  <c r="M36" i="3"/>
  <c r="C36" i="3"/>
  <c r="M35" i="3"/>
  <c r="L35" i="3"/>
  <c r="C35" i="3"/>
  <c r="L34" i="3"/>
  <c r="M34" i="3"/>
  <c r="C34" i="3"/>
  <c r="M33" i="3"/>
  <c r="L33" i="3"/>
  <c r="L32" i="3"/>
  <c r="M32" i="3"/>
  <c r="M31" i="3"/>
  <c r="L31" i="3"/>
  <c r="L30" i="3"/>
  <c r="M30" i="3"/>
  <c r="M29" i="3"/>
  <c r="L29" i="3"/>
  <c r="C29" i="3"/>
  <c r="L28" i="3"/>
  <c r="M28" i="3"/>
  <c r="C28" i="3"/>
  <c r="C27" i="3"/>
  <c r="M27" i="3"/>
  <c r="L27" i="3"/>
  <c r="L26" i="3"/>
  <c r="M26" i="3"/>
  <c r="C26" i="3"/>
  <c r="M25" i="3"/>
  <c r="L25" i="3"/>
  <c r="C25" i="3"/>
  <c r="L24" i="3"/>
  <c r="M24" i="3"/>
  <c r="C24" i="3"/>
  <c r="M23" i="3"/>
  <c r="L23" i="3"/>
  <c r="C23" i="3"/>
  <c r="L22" i="3"/>
  <c r="M22" i="3"/>
  <c r="C22" i="3"/>
  <c r="M21" i="3"/>
  <c r="L21" i="3"/>
  <c r="C21" i="3"/>
  <c r="L20" i="3"/>
  <c r="M20" i="3"/>
  <c r="C20" i="3"/>
  <c r="M19" i="3"/>
  <c r="L19" i="3"/>
  <c r="C19" i="3"/>
  <c r="L18" i="3"/>
  <c r="C18" i="3"/>
  <c r="M18" i="3"/>
  <c r="C17" i="3"/>
  <c r="D19" i="3" l="1"/>
  <c r="D21" i="3"/>
  <c r="D23" i="3"/>
  <c r="D25" i="3"/>
  <c r="D27" i="3"/>
  <c r="D29" i="3"/>
  <c r="D31" i="3"/>
  <c r="D33" i="3"/>
  <c r="D35" i="3"/>
  <c r="D37" i="3"/>
  <c r="D39" i="3"/>
  <c r="D41" i="3"/>
  <c r="D20" i="3"/>
  <c r="D22" i="3"/>
  <c r="D24" i="3"/>
  <c r="D26" i="3"/>
  <c r="D28" i="3"/>
  <c r="D30" i="3"/>
  <c r="D32" i="3"/>
  <c r="D34" i="3"/>
  <c r="D36" i="3"/>
  <c r="D38" i="3"/>
  <c r="D40" i="3"/>
  <c r="D18" i="3"/>
  <c r="D17" i="3"/>
</calcChain>
</file>

<file path=xl/sharedStrings.xml><?xml version="1.0" encoding="utf-8"?>
<sst xmlns="http://schemas.openxmlformats.org/spreadsheetml/2006/main" count="36" uniqueCount="33">
  <si>
    <t>min</t>
  </si>
  <si>
    <t>max</t>
  </si>
  <si>
    <t>Blende</t>
  </si>
  <si>
    <t>Blickfeld</t>
  </si>
  <si>
    <t>mm</t>
  </si>
  <si>
    <t>Entfernung</t>
  </si>
  <si>
    <t>m</t>
  </si>
  <si>
    <t>Auflösung</t>
  </si>
  <si>
    <t>px</t>
  </si>
  <si>
    <t>Test zum Auflösungsvermögen</t>
  </si>
  <si>
    <t>Datum</t>
  </si>
  <si>
    <t>Ort</t>
  </si>
  <si>
    <t>Beobachter</t>
  </si>
  <si>
    <t>Wetter</t>
  </si>
  <si>
    <t>Kamera</t>
  </si>
  <si>
    <t>Tachymeter</t>
  </si>
  <si>
    <t>C'</t>
  </si>
  <si>
    <t>C' (normiert)</t>
  </si>
  <si>
    <t>Auswertung:</t>
  </si>
  <si>
    <t>Objektraum</t>
  </si>
  <si>
    <t xml:space="preserve">Breite Linienpaar </t>
  </si>
  <si>
    <t>(mm)</t>
  </si>
  <si>
    <t>(gon)</t>
  </si>
  <si>
    <t>(mgon)</t>
  </si>
  <si>
    <t>Lp/mm</t>
  </si>
  <si>
    <t>Lp/mgon</t>
  </si>
  <si>
    <t>Streifen</t>
  </si>
  <si>
    <t>Breite in px</t>
  </si>
  <si>
    <t>Grenze</t>
  </si>
  <si>
    <t>mgon</t>
  </si>
  <si>
    <t>Erstes Linienpaar in Milimeter:</t>
  </si>
  <si>
    <t>Pixel</t>
  </si>
  <si>
    <t>Grauwert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</si>
</sst>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6">
    <xf numFmtId="0" fontId="0" fillId="0" borderId="0" xfId="0"/>
    <xf numFmtId="0" fontId="0" fillId="0" borderId="0" xfId="0" applyFill="1"/>
    <xf numFmtId="0" fontId="0" fillId="33" borderId="0" xfId="0" applyFill="1"/>
    <xf numFmtId="0" fontId="0" fillId="34" borderId="0" xfId="0" applyFill="1"/>
    <xf numFmtId="0" fontId="18" fillId="0" borderId="0" xfId="0" applyFont="1"/>
    <xf numFmtId="0" fontId="0" fillId="0" borderId="0" xfId="0" applyFont="1"/>
    <xf numFmtId="0" fontId="0" fillId="34" borderId="0" xfId="0" applyFont="1" applyFill="1"/>
    <xf numFmtId="164" fontId="0" fillId="0" borderId="0" xfId="0" applyNumberFormat="1" applyFont="1"/>
    <xf numFmtId="0" fontId="0" fillId="0" borderId="0" xfId="0" applyFont="1" applyFill="1"/>
    <xf numFmtId="0" fontId="0" fillId="0" borderId="10" xfId="0" applyBorder="1"/>
    <xf numFmtId="0" fontId="0" fillId="0" borderId="10" xfId="0" applyFill="1" applyBorder="1"/>
    <xf numFmtId="0" fontId="7" fillId="3" borderId="0" xfId="7"/>
    <xf numFmtId="164" fontId="7" fillId="3" borderId="0" xfId="7" applyNumberFormat="1"/>
    <xf numFmtId="165" fontId="7" fillId="3" borderId="0" xfId="7" applyNumberFormat="1"/>
    <xf numFmtId="2" fontId="7" fillId="3" borderId="0" xfId="7" applyNumberFormat="1"/>
    <xf numFmtId="0" fontId="0" fillId="0" borderId="0" xfId="0" applyBorder="1"/>
    <xf numFmtId="0" fontId="0" fillId="0" borderId="0" xfId="0" applyFill="1" applyBorder="1"/>
    <xf numFmtId="0" fontId="0" fillId="36" borderId="0" xfId="0" applyFill="1"/>
    <xf numFmtId="2" fontId="0" fillId="36" borderId="0" xfId="0" applyNumberFormat="1" applyFill="1"/>
    <xf numFmtId="0" fontId="19" fillId="35" borderId="0" xfId="0" applyFont="1" applyFill="1"/>
    <xf numFmtId="2" fontId="19" fillId="35" borderId="0" xfId="0" applyNumberFormat="1" applyFont="1" applyFill="1"/>
    <xf numFmtId="1" fontId="0" fillId="0" borderId="0" xfId="0" applyNumberFormat="1" applyFill="1"/>
    <xf numFmtId="1" fontId="0" fillId="0" borderId="0" xfId="0" applyNumberFormat="1" applyFont="1" applyFill="1"/>
    <xf numFmtId="1" fontId="0" fillId="0" borderId="10" xfId="0" applyNumberFormat="1" applyFill="1" applyBorder="1"/>
    <xf numFmtId="1" fontId="0" fillId="0" borderId="0" xfId="0" applyNumberFormat="1" applyFill="1" applyBorder="1"/>
    <xf numFmtId="1" fontId="19" fillId="0" borderId="0" xfId="0" applyNumberFormat="1" applyFont="1" applyFill="1"/>
    <xf numFmtId="0" fontId="21" fillId="37" borderId="0" xfId="7" applyFont="1" applyFill="1"/>
    <xf numFmtId="14" fontId="0" fillId="34" borderId="0" xfId="0" applyNumberFormat="1" applyFill="1"/>
    <xf numFmtId="0" fontId="16" fillId="0" borderId="0" xfId="0" applyFont="1" applyFill="1" applyAlignment="1">
      <alignment horizontal="center"/>
    </xf>
    <xf numFmtId="0" fontId="16" fillId="0" borderId="10" xfId="0" applyFont="1" applyBorder="1"/>
    <xf numFmtId="0" fontId="0" fillId="34" borderId="0" xfId="0" applyFill="1" applyAlignment="1">
      <alignment horizontal="right"/>
    </xf>
    <xf numFmtId="1" fontId="14" fillId="0" borderId="0" xfId="0" applyNumberFormat="1" applyFont="1" applyFill="1"/>
    <xf numFmtId="164" fontId="0" fillId="0" borderId="0" xfId="0" applyNumberFormat="1" applyFont="1" applyFill="1"/>
    <xf numFmtId="2" fontId="20" fillId="37" borderId="0" xfId="0" applyNumberFormat="1" applyFont="1" applyFill="1"/>
    <xf numFmtId="2" fontId="0" fillId="0" borderId="0" xfId="0" applyNumberFormat="1"/>
    <xf numFmtId="2" fontId="0" fillId="0" borderId="0" xfId="0" applyNumberFormat="1" applyFont="1"/>
    <xf numFmtId="2" fontId="16" fillId="0" borderId="0" xfId="0" applyNumberFormat="1" applyFont="1" applyFill="1" applyAlignment="1">
      <alignment horizontal="center"/>
    </xf>
    <xf numFmtId="2" fontId="0" fillId="34" borderId="0" xfId="0" applyNumberFormat="1" applyFill="1"/>
    <xf numFmtId="2" fontId="0" fillId="0" borderId="10" xfId="0" applyNumberFormat="1" applyBorder="1"/>
    <xf numFmtId="2" fontId="0" fillId="0" borderId="0" xfId="0" applyNumberFormat="1" applyBorder="1"/>
    <xf numFmtId="2" fontId="21" fillId="37" borderId="0" xfId="7" applyNumberFormat="1" applyFont="1" applyFill="1"/>
    <xf numFmtId="2" fontId="20" fillId="37" borderId="0" xfId="7" applyNumberFormat="1" applyFont="1" applyFill="1"/>
    <xf numFmtId="2" fontId="0" fillId="0" borderId="0" xfId="0" applyNumberFormat="1" applyFill="1"/>
    <xf numFmtId="2" fontId="0" fillId="0" borderId="0" xfId="0" applyNumberFormat="1" applyFont="1" applyFill="1"/>
    <xf numFmtId="2" fontId="0" fillId="0" borderId="10" xfId="0" applyNumberFormat="1" applyFill="1" applyBorder="1"/>
    <xf numFmtId="2" fontId="0" fillId="0" borderId="0" xfId="0" applyNumberFormat="1" applyFill="1" applyBorder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Messwerte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/>
          </c:spPr>
          <c:marker>
            <c:symbol val="none"/>
          </c:marker>
          <c:xVal>
            <c:strRef>
              <c:f>'Plot Values'!$A$1:$A$1802</c:f>
              <c:strCache>
                <c:ptCount val="1"/>
                <c:pt idx="0">
                  <c:v>Pixel</c:v>
                </c:pt>
              </c:strCache>
            </c:strRef>
          </c:xVal>
          <c:yVal>
            <c:numRef>
              <c:f>'Plot Values'!$B$1:$B$1802</c:f>
              <c:numCache>
                <c:formatCode>General</c:formatCode>
                <c:ptCount val="1802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95136"/>
        <c:axId val="91597056"/>
      </c:scatterChart>
      <c:valAx>
        <c:axId val="91595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Pixel im Profilstreifen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1597056"/>
        <c:crosses val="autoZero"/>
        <c:crossBetween val="midCat"/>
      </c:valAx>
      <c:valAx>
        <c:axId val="91597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Grauwert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159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Ermittelte Minima und Maxima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6350"/>
          </c:spPr>
          <c:marker>
            <c:symbol val="none"/>
          </c:marker>
          <c:xVal>
            <c:numRef>
              <c:f>VBA!$A$1:$A$200</c:f>
              <c:numCache>
                <c:formatCode>General</c:formatCode>
                <c:ptCount val="200"/>
              </c:numCache>
            </c:numRef>
          </c:xVal>
          <c:yVal>
            <c:numRef>
              <c:f>VBA!$B$1:$B$200</c:f>
              <c:numCache>
                <c:formatCode>General</c:formatCode>
                <c:ptCount val="200"/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VBA!$A$3:$A$185</c:f>
              <c:numCache>
                <c:formatCode>General</c:formatCode>
                <c:ptCount val="183"/>
              </c:numCache>
            </c:numRef>
          </c:xVal>
          <c:yVal>
            <c:numRef>
              <c:f>VBA!$C$3:$C$185</c:f>
              <c:numCache>
                <c:formatCode>General</c:formatCode>
                <c:ptCount val="183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34688"/>
        <c:axId val="91652864"/>
      </c:scatterChart>
      <c:valAx>
        <c:axId val="91634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91652864"/>
        <c:crosses val="autoZero"/>
        <c:crossBetween val="midCat"/>
      </c:valAx>
      <c:valAx>
        <c:axId val="91652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Grauwert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163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Objektraum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trendline>
            <c:trendlineType val="poly"/>
            <c:order val="2"/>
            <c:dispRSqr val="0"/>
            <c:dispEq val="0"/>
          </c:trendline>
          <c:trendline>
            <c:trendlineType val="poly"/>
            <c:order val="2"/>
            <c:dispRSqr val="0"/>
            <c:dispEq val="0"/>
          </c:trendline>
          <c:xVal>
            <c:numRef>
              <c:f>Auswertung!$L$18:$L$116</c:f>
              <c:numCache>
                <c:formatCode>0.00</c:formatCode>
                <c:ptCount val="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</c:numCache>
            </c:numRef>
          </c:xVal>
          <c:yVal>
            <c:numRef>
              <c:f>Auswertung!$D$18:$D$116</c:f>
              <c:numCache>
                <c:formatCode>0.00</c:formatCode>
                <c:ptCount val="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32544"/>
        <c:axId val="97134464"/>
      </c:scatterChart>
      <c:valAx>
        <c:axId val="9713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F[LP/mm]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97134464"/>
        <c:crosses val="autoZero"/>
        <c:crossBetween val="midCat"/>
      </c:valAx>
      <c:valAx>
        <c:axId val="9713446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CT(f)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97132544"/>
        <c:crosses val="autoZero"/>
        <c:crossBetween val="midCat"/>
        <c:majorUnit val="0.1"/>
        <c:minorUnit val="2.0000000000000011E-2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11906</xdr:colOff>
      <xdr:row>1</xdr:row>
      <xdr:rowOff>11907</xdr:rowOff>
    </xdr:from>
    <xdr:to>
      <xdr:col>18</xdr:col>
      <xdr:colOff>21431</xdr:colOff>
      <xdr:row>16</xdr:row>
      <xdr:rowOff>11907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1</xdr:row>
          <xdr:rowOff>123825</xdr:rowOff>
        </xdr:from>
        <xdr:to>
          <xdr:col>3</xdr:col>
          <xdr:colOff>628650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21431</xdr:colOff>
      <xdr:row>1</xdr:row>
      <xdr:rowOff>85725</xdr:rowOff>
    </xdr:from>
    <xdr:to>
      <xdr:col>20</xdr:col>
      <xdr:colOff>21431</xdr:colOff>
      <xdr:row>15</xdr:row>
      <xdr:rowOff>161925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30"/>
  <sheetViews>
    <sheetView tabSelected="1" zoomScale="80" zoomScaleNormal="80" workbookViewId="0">
      <selection activeCell="A10" sqref="A10"/>
    </sheetView>
  </sheetViews>
  <sheetFormatPr baseColWidth="10" defaultRowHeight="15" x14ac:dyDescent="0.25"/>
  <cols>
    <col min="3" max="3" width="11.42578125" style="1"/>
    <col min="6" max="6" width="11.42578125" style="21"/>
  </cols>
  <sheetData>
    <row r="1" spans="1:2" x14ac:dyDescent="0.25">
      <c r="A1" t="s">
        <v>31</v>
      </c>
      <c r="B1" t="s">
        <v>32</v>
      </c>
    </row>
    <row r="30" spans="6:6" x14ac:dyDescent="0.25">
      <c r="F30" s="31"/>
    </row>
  </sheetData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_Click">
                <anchor moveWithCells="1" sizeWithCells="1">
                  <from>
                    <xdr:col>2</xdr:col>
                    <xdr:colOff>314325</xdr:colOff>
                    <xdr:row>1</xdr:row>
                    <xdr:rowOff>123825</xdr:rowOff>
                  </from>
                  <to>
                    <xdr:col>3</xdr:col>
                    <xdr:colOff>628650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F32"/>
  <sheetViews>
    <sheetView workbookViewId="0">
      <selection activeCell="I12" sqref="I12"/>
    </sheetView>
  </sheetViews>
  <sheetFormatPr baseColWidth="10" defaultRowHeight="15" x14ac:dyDescent="0.25"/>
  <sheetData>
    <row r="1" spans="2:6" x14ac:dyDescent="0.25">
      <c r="B1" s="1"/>
      <c r="F1" s="2"/>
    </row>
    <row r="2" spans="2:6" x14ac:dyDescent="0.25">
      <c r="B2" s="1"/>
      <c r="F2" s="2"/>
    </row>
    <row r="3" spans="2:6" x14ac:dyDescent="0.25">
      <c r="B3" s="1"/>
    </row>
    <row r="4" spans="2:6" x14ac:dyDescent="0.25">
      <c r="B4" s="1"/>
    </row>
    <row r="5" spans="2:6" x14ac:dyDescent="0.25">
      <c r="B5" s="1"/>
    </row>
    <row r="6" spans="2:6" x14ac:dyDescent="0.25">
      <c r="B6" s="1"/>
    </row>
    <row r="7" spans="2:6" x14ac:dyDescent="0.25">
      <c r="B7" s="1"/>
    </row>
    <row r="8" spans="2:6" x14ac:dyDescent="0.25">
      <c r="B8" s="1"/>
    </row>
    <row r="9" spans="2:6" x14ac:dyDescent="0.25">
      <c r="B9" s="1"/>
    </row>
    <row r="10" spans="2:6" x14ac:dyDescent="0.25">
      <c r="B10" s="1"/>
    </row>
    <row r="11" spans="2:6" x14ac:dyDescent="0.25">
      <c r="B11" s="1"/>
    </row>
    <row r="12" spans="2:6" x14ac:dyDescent="0.25">
      <c r="B12" s="1"/>
    </row>
    <row r="13" spans="2:6" x14ac:dyDescent="0.25">
      <c r="B13" s="1"/>
    </row>
    <row r="14" spans="2:6" x14ac:dyDescent="0.25">
      <c r="B14" s="1"/>
    </row>
    <row r="15" spans="2:6" x14ac:dyDescent="0.25">
      <c r="B15" s="1"/>
    </row>
    <row r="16" spans="2:6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Q215"/>
  <sheetViews>
    <sheetView zoomScale="80" zoomScaleNormal="80" workbookViewId="0">
      <selection activeCell="N112" sqref="N112"/>
    </sheetView>
  </sheetViews>
  <sheetFormatPr baseColWidth="10" defaultRowHeight="15" x14ac:dyDescent="0.25"/>
  <cols>
    <col min="1" max="1" width="12.42578125" customWidth="1"/>
    <col min="4" max="4" width="12.28515625" bestFit="1" customWidth="1"/>
    <col min="5" max="6" width="12.28515625" style="21" hidden="1" customWidth="1"/>
    <col min="7" max="7" width="11.42578125" style="34"/>
    <col min="10" max="10" width="12.28515625" bestFit="1" customWidth="1"/>
    <col min="12" max="12" width="11.42578125" style="34"/>
  </cols>
  <sheetData>
    <row r="1" spans="1:14" x14ac:dyDescent="0.25">
      <c r="A1" s="4" t="s">
        <v>9</v>
      </c>
    </row>
    <row r="3" spans="1:14" x14ac:dyDescent="0.25">
      <c r="A3" t="s">
        <v>10</v>
      </c>
      <c r="B3" s="27"/>
      <c r="C3" s="3"/>
      <c r="G3" s="35" t="s">
        <v>5</v>
      </c>
      <c r="H3" s="5"/>
      <c r="I3" s="30">
        <v>1</v>
      </c>
      <c r="J3" s="6" t="s">
        <v>6</v>
      </c>
      <c r="L3" s="40" t="s">
        <v>24</v>
      </c>
      <c r="M3" s="26" t="s">
        <v>4</v>
      </c>
    </row>
    <row r="4" spans="1:14" x14ac:dyDescent="0.25">
      <c r="A4" t="s">
        <v>11</v>
      </c>
      <c r="B4" s="3"/>
      <c r="C4" s="3"/>
      <c r="G4" s="35" t="s">
        <v>7</v>
      </c>
      <c r="H4" s="5"/>
      <c r="I4" s="30"/>
      <c r="J4" s="6" t="s">
        <v>8</v>
      </c>
      <c r="L4" s="41">
        <f>1/M4</f>
        <v>1.7670821231883385</v>
      </c>
      <c r="M4" s="33">
        <v>0.56590465540769797</v>
      </c>
    </row>
    <row r="5" spans="1:14" x14ac:dyDescent="0.25">
      <c r="A5" t="s">
        <v>12</v>
      </c>
      <c r="B5" s="3"/>
      <c r="C5" s="3"/>
      <c r="G5" s="35" t="s">
        <v>2</v>
      </c>
      <c r="H5" s="5"/>
      <c r="I5" s="6"/>
      <c r="J5" s="5"/>
      <c r="L5" s="40" t="s">
        <v>24</v>
      </c>
      <c r="M5" s="26" t="s">
        <v>29</v>
      </c>
    </row>
    <row r="6" spans="1:14" x14ac:dyDescent="0.25">
      <c r="A6" t="s">
        <v>13</v>
      </c>
      <c r="B6" s="3"/>
      <c r="C6" s="3"/>
      <c r="G6" s="35" t="s">
        <v>3</v>
      </c>
      <c r="H6" s="5"/>
      <c r="I6" s="3"/>
      <c r="J6" s="5"/>
      <c r="L6" s="41">
        <f>1/M6</f>
        <v>2.7757261082491692E-2</v>
      </c>
      <c r="M6" s="33">
        <f>((M4*200/PI())/($I$3*1000))*1000</f>
        <v>36.026609290740325</v>
      </c>
    </row>
    <row r="7" spans="1:14" x14ac:dyDescent="0.25">
      <c r="G7" s="35" t="s">
        <v>14</v>
      </c>
      <c r="H7" s="5"/>
      <c r="I7" s="3"/>
      <c r="J7" s="5"/>
    </row>
    <row r="8" spans="1:14" x14ac:dyDescent="0.25">
      <c r="G8" s="35" t="s">
        <v>15</v>
      </c>
      <c r="H8" s="5"/>
      <c r="I8" s="3"/>
      <c r="J8" s="5"/>
      <c r="K8" s="1"/>
      <c r="L8" s="42" t="s">
        <v>28</v>
      </c>
      <c r="M8" s="3">
        <v>0.4</v>
      </c>
      <c r="N8" s="1"/>
    </row>
    <row r="9" spans="1:14" x14ac:dyDescent="0.25">
      <c r="K9" s="1"/>
      <c r="L9" s="42"/>
      <c r="M9" s="1"/>
      <c r="N9" s="1"/>
    </row>
    <row r="10" spans="1:14" s="5" customFormat="1" x14ac:dyDescent="0.25">
      <c r="A10" s="8"/>
      <c r="B10" s="28"/>
      <c r="C10" s="8"/>
      <c r="D10" s="8"/>
      <c r="E10" s="22"/>
      <c r="F10" s="22"/>
      <c r="G10" s="36"/>
      <c r="H10" s="28"/>
      <c r="I10" s="8"/>
      <c r="K10" s="7"/>
      <c r="L10" s="35"/>
      <c r="M10" s="32"/>
      <c r="N10" s="8"/>
    </row>
    <row r="11" spans="1:14" s="5" customFormat="1" x14ac:dyDescent="0.25">
      <c r="A11" t="s">
        <v>30</v>
      </c>
      <c r="B11" s="28"/>
      <c r="C11" s="8"/>
      <c r="D11" s="8"/>
      <c r="E11" s="22"/>
      <c r="F11" s="22"/>
      <c r="G11" s="37">
        <v>1</v>
      </c>
      <c r="H11" t="s">
        <v>4</v>
      </c>
      <c r="I11" s="1"/>
      <c r="K11" s="35"/>
      <c r="L11" s="43"/>
      <c r="M11" s="8"/>
      <c r="N11" s="8"/>
    </row>
    <row r="12" spans="1:14" x14ac:dyDescent="0.25">
      <c r="M12" s="1"/>
      <c r="N12" s="1"/>
    </row>
    <row r="13" spans="1:14" x14ac:dyDescent="0.25">
      <c r="A13" s="29" t="s">
        <v>18</v>
      </c>
      <c r="B13" s="9"/>
      <c r="C13" s="9"/>
      <c r="D13" s="9"/>
      <c r="E13" s="23"/>
      <c r="F13" s="23"/>
      <c r="G13" s="38"/>
      <c r="H13" s="9"/>
      <c r="I13" s="9"/>
      <c r="J13" s="9"/>
      <c r="K13" s="10"/>
      <c r="L13" s="44"/>
      <c r="M13" s="10"/>
      <c r="N13" s="16"/>
    </row>
    <row r="14" spans="1:14" x14ac:dyDescent="0.25">
      <c r="A14" s="15"/>
      <c r="B14" s="15"/>
      <c r="C14" s="15"/>
      <c r="D14" s="15"/>
      <c r="E14" s="24"/>
      <c r="F14" s="24"/>
      <c r="G14" s="39"/>
      <c r="H14" s="15"/>
      <c r="I14" s="15"/>
      <c r="J14" s="15"/>
      <c r="K14" s="16"/>
      <c r="L14" s="45"/>
      <c r="M14" s="16"/>
      <c r="N14" s="16"/>
    </row>
    <row r="15" spans="1:14" x14ac:dyDescent="0.25">
      <c r="G15" s="14" t="s">
        <v>19</v>
      </c>
      <c r="H15" s="11"/>
      <c r="I15" s="11"/>
      <c r="J15" s="11"/>
      <c r="K15" s="11"/>
      <c r="L15" s="14"/>
      <c r="M15" s="11"/>
      <c r="N15" s="1"/>
    </row>
    <row r="16" spans="1:14" x14ac:dyDescent="0.25">
      <c r="A16" s="19" t="s">
        <v>1</v>
      </c>
      <c r="B16" s="19" t="s">
        <v>0</v>
      </c>
      <c r="C16" s="19" t="s">
        <v>16</v>
      </c>
      <c r="D16" s="19" t="s">
        <v>17</v>
      </c>
      <c r="E16" s="25"/>
      <c r="F16" s="25"/>
      <c r="G16" s="14" t="s">
        <v>20</v>
      </c>
      <c r="H16" s="11"/>
      <c r="I16" s="11"/>
      <c r="J16" s="11"/>
      <c r="K16" s="11"/>
      <c r="L16" s="14"/>
      <c r="M16" s="11"/>
      <c r="N16" s="1"/>
    </row>
    <row r="17" spans="1:14" x14ac:dyDescent="0.25">
      <c r="A17" s="17" t="e">
        <f>IF(VBA!F2&gt;0,VBA!F2,NA())</f>
        <v>#N/A</v>
      </c>
      <c r="B17" s="17" t="e">
        <f>IF(VBA!F1&gt;0,VBA!F1,NA())</f>
        <v>#N/A</v>
      </c>
      <c r="C17" s="18" t="e">
        <f>(A17-B17)/(A17+B17)</f>
        <v>#N/A</v>
      </c>
      <c r="D17" s="18" t="e">
        <f>C17/$C$17</f>
        <v>#N/A</v>
      </c>
      <c r="E17" s="21" t="s">
        <v>26</v>
      </c>
      <c r="F17" s="21" t="s">
        <v>27</v>
      </c>
      <c r="G17" s="14" t="s">
        <v>21</v>
      </c>
      <c r="H17" s="11"/>
      <c r="I17" s="11" t="s">
        <v>22</v>
      </c>
      <c r="J17" s="11" t="s">
        <v>23</v>
      </c>
      <c r="K17" s="11"/>
      <c r="L17" s="14" t="s">
        <v>24</v>
      </c>
      <c r="M17" s="11" t="s">
        <v>25</v>
      </c>
      <c r="N17" s="1"/>
    </row>
    <row r="18" spans="1:14" x14ac:dyDescent="0.25">
      <c r="A18" s="19">
        <f>VBA!B2</f>
        <v>0</v>
      </c>
      <c r="B18" s="19">
        <f>VBA!B3</f>
        <v>0</v>
      </c>
      <c r="C18" s="20" t="e">
        <f>IF(AND(A18&gt;0,B18&gt;0),(A18-B18)/(A18+B18),NA())</f>
        <v>#N/A</v>
      </c>
      <c r="D18" s="20" t="e">
        <f>IF(AND(A18&gt;0,B18&gt;0),C18/$C$17,NA())</f>
        <v>#N/A</v>
      </c>
      <c r="E18" s="25">
        <v>0</v>
      </c>
      <c r="F18" s="25">
        <f>1000*(E18+10)^(-1)</f>
        <v>100</v>
      </c>
      <c r="G18" s="14">
        <f t="shared" ref="G18:G49" si="0">($G$11*F18)/100</f>
        <v>1</v>
      </c>
      <c r="H18" s="11"/>
      <c r="I18" s="12">
        <f>(G18*200/PI())/$I$3/1000</f>
        <v>6.3661977236758135E-2</v>
      </c>
      <c r="J18" s="13">
        <f>I18*1000</f>
        <v>63.661977236758133</v>
      </c>
      <c r="K18" s="11"/>
      <c r="L18" s="14" t="e">
        <f>IF(A18&gt;0,1/G18,NA())</f>
        <v>#N/A</v>
      </c>
      <c r="M18" s="14" t="e">
        <f>IF(A18&gt;0,1/J18,NA())</f>
        <v>#N/A</v>
      </c>
    </row>
    <row r="19" spans="1:14" x14ac:dyDescent="0.25">
      <c r="A19" s="19">
        <f>VBA!B4</f>
        <v>0</v>
      </c>
      <c r="B19" s="19">
        <f>VBA!B5</f>
        <v>0</v>
      </c>
      <c r="C19" s="20" t="e">
        <f t="shared" ref="C19:C82" si="1">IF(AND(A19&gt;0,B19&gt;0),(A19-B19)/(A19+B19),NA())</f>
        <v>#N/A</v>
      </c>
      <c r="D19" s="20" t="e">
        <f t="shared" ref="D19:D82" si="2">IF(AND(A19&gt;0,B19&gt;0),C19/$C$17,NA())</f>
        <v>#N/A</v>
      </c>
      <c r="E19" s="25">
        <v>1</v>
      </c>
      <c r="F19" s="25">
        <f t="shared" ref="F19:F82" si="3">1000*(E19+10)^(-1)</f>
        <v>90.909090909090907</v>
      </c>
      <c r="G19" s="14">
        <f t="shared" si="0"/>
        <v>0.90909090909090906</v>
      </c>
      <c r="H19" s="11"/>
      <c r="I19" s="12">
        <f t="shared" ref="I19:I82" si="4">(G19*200/PI())/$I$3/1000</f>
        <v>5.787452476068921E-2</v>
      </c>
      <c r="J19" s="13">
        <f t="shared" ref="J19:J23" si="5">I19*1000</f>
        <v>57.874524760689212</v>
      </c>
      <c r="K19" s="11"/>
      <c r="L19" s="14" t="e">
        <f t="shared" ref="L19:L82" si="6">IF(A19&gt;0,1/G19,NA())</f>
        <v>#N/A</v>
      </c>
      <c r="M19" s="14" t="e">
        <f t="shared" ref="M19:M82" si="7">IF(A19&gt;0,1/J19,NA())</f>
        <v>#N/A</v>
      </c>
    </row>
    <row r="20" spans="1:14" x14ac:dyDescent="0.25">
      <c r="A20" s="19">
        <f>VBA!B6</f>
        <v>0</v>
      </c>
      <c r="B20" s="19">
        <f>VBA!B7</f>
        <v>0</v>
      </c>
      <c r="C20" s="20" t="e">
        <f t="shared" si="1"/>
        <v>#N/A</v>
      </c>
      <c r="D20" s="20" t="e">
        <f t="shared" si="2"/>
        <v>#N/A</v>
      </c>
      <c r="E20" s="25">
        <v>2</v>
      </c>
      <c r="F20" s="25">
        <f t="shared" si="3"/>
        <v>83.333333333333329</v>
      </c>
      <c r="G20" s="14">
        <f t="shared" si="0"/>
        <v>0.83333333333333326</v>
      </c>
      <c r="H20" s="11"/>
      <c r="I20" s="12">
        <f t="shared" si="4"/>
        <v>5.3051647697298442E-2</v>
      </c>
      <c r="J20" s="13">
        <f t="shared" si="5"/>
        <v>53.051647697298442</v>
      </c>
      <c r="K20" s="11"/>
      <c r="L20" s="14" t="e">
        <f t="shared" si="6"/>
        <v>#N/A</v>
      </c>
      <c r="M20" s="14" t="e">
        <f t="shared" si="7"/>
        <v>#N/A</v>
      </c>
    </row>
    <row r="21" spans="1:14" x14ac:dyDescent="0.25">
      <c r="A21" s="19">
        <f>VBA!B8</f>
        <v>0</v>
      </c>
      <c r="B21" s="19">
        <f>VBA!B9</f>
        <v>0</v>
      </c>
      <c r="C21" s="20" t="e">
        <f t="shared" si="1"/>
        <v>#N/A</v>
      </c>
      <c r="D21" s="20" t="e">
        <f t="shared" si="2"/>
        <v>#N/A</v>
      </c>
      <c r="E21" s="25">
        <v>3</v>
      </c>
      <c r="F21" s="25">
        <f t="shared" si="3"/>
        <v>76.923076923076934</v>
      </c>
      <c r="G21" s="14">
        <f t="shared" si="0"/>
        <v>0.76923076923076938</v>
      </c>
      <c r="H21" s="11"/>
      <c r="I21" s="12">
        <f t="shared" si="4"/>
        <v>4.897075172058319E-2</v>
      </c>
      <c r="J21" s="13">
        <f t="shared" si="5"/>
        <v>48.970751720583188</v>
      </c>
      <c r="K21" s="11"/>
      <c r="L21" s="14" t="e">
        <f t="shared" si="6"/>
        <v>#N/A</v>
      </c>
      <c r="M21" s="14" t="e">
        <f t="shared" si="7"/>
        <v>#N/A</v>
      </c>
    </row>
    <row r="22" spans="1:14" x14ac:dyDescent="0.25">
      <c r="A22" s="19">
        <f>VBA!B10</f>
        <v>0</v>
      </c>
      <c r="B22" s="19">
        <f>VBA!B11</f>
        <v>0</v>
      </c>
      <c r="C22" s="20" t="e">
        <f t="shared" si="1"/>
        <v>#N/A</v>
      </c>
      <c r="D22" s="20" t="e">
        <f t="shared" si="2"/>
        <v>#N/A</v>
      </c>
      <c r="E22" s="25">
        <v>4</v>
      </c>
      <c r="F22" s="25">
        <f t="shared" si="3"/>
        <v>71.428571428571431</v>
      </c>
      <c r="G22" s="14">
        <f t="shared" si="0"/>
        <v>0.7142857142857143</v>
      </c>
      <c r="H22" s="11"/>
      <c r="I22" s="12">
        <f t="shared" si="4"/>
        <v>4.5472840883398667E-2</v>
      </c>
      <c r="J22" s="13">
        <f t="shared" si="5"/>
        <v>45.472840883398668</v>
      </c>
      <c r="K22" s="11"/>
      <c r="L22" s="14" t="e">
        <f t="shared" si="6"/>
        <v>#N/A</v>
      </c>
      <c r="M22" s="14" t="e">
        <f t="shared" si="7"/>
        <v>#N/A</v>
      </c>
    </row>
    <row r="23" spans="1:14" x14ac:dyDescent="0.25">
      <c r="A23" s="19">
        <f>VBA!B12</f>
        <v>0</v>
      </c>
      <c r="B23" s="19">
        <f>VBA!B13</f>
        <v>0</v>
      </c>
      <c r="C23" s="20" t="e">
        <f t="shared" si="1"/>
        <v>#N/A</v>
      </c>
      <c r="D23" s="20" t="e">
        <f t="shared" si="2"/>
        <v>#N/A</v>
      </c>
      <c r="E23" s="25">
        <v>5</v>
      </c>
      <c r="F23" s="25">
        <f t="shared" si="3"/>
        <v>66.666666666666671</v>
      </c>
      <c r="G23" s="14">
        <f t="shared" si="0"/>
        <v>0.66666666666666674</v>
      </c>
      <c r="H23" s="11"/>
      <c r="I23" s="12">
        <f t="shared" si="4"/>
        <v>4.2441318157838755E-2</v>
      </c>
      <c r="J23" s="13">
        <f t="shared" si="5"/>
        <v>42.441318157838758</v>
      </c>
      <c r="K23" s="11"/>
      <c r="L23" s="14" t="e">
        <f t="shared" si="6"/>
        <v>#N/A</v>
      </c>
      <c r="M23" s="14" t="e">
        <f t="shared" si="7"/>
        <v>#N/A</v>
      </c>
    </row>
    <row r="24" spans="1:14" x14ac:dyDescent="0.25">
      <c r="A24" s="19">
        <f>VBA!B14</f>
        <v>0</v>
      </c>
      <c r="B24" s="19">
        <f>VBA!B15</f>
        <v>0</v>
      </c>
      <c r="C24" s="20" t="e">
        <f t="shared" si="1"/>
        <v>#N/A</v>
      </c>
      <c r="D24" s="20" t="e">
        <f t="shared" si="2"/>
        <v>#N/A</v>
      </c>
      <c r="E24" s="25">
        <v>6</v>
      </c>
      <c r="F24" s="25">
        <f t="shared" si="3"/>
        <v>62.5</v>
      </c>
      <c r="G24" s="14">
        <f t="shared" si="0"/>
        <v>0.625</v>
      </c>
      <c r="H24" s="11"/>
      <c r="I24" s="12">
        <f t="shared" si="4"/>
        <v>3.9788735772973836E-2</v>
      </c>
      <c r="J24" s="13">
        <f t="shared" ref="J24:J87" si="8">I24*1000</f>
        <v>39.788735772973837</v>
      </c>
      <c r="K24" s="11"/>
      <c r="L24" s="14" t="e">
        <f t="shared" si="6"/>
        <v>#N/A</v>
      </c>
      <c r="M24" s="14" t="e">
        <f t="shared" si="7"/>
        <v>#N/A</v>
      </c>
    </row>
    <row r="25" spans="1:14" x14ac:dyDescent="0.25">
      <c r="A25" s="19">
        <f>VBA!B16</f>
        <v>0</v>
      </c>
      <c r="B25" s="19">
        <f>VBA!B17</f>
        <v>0</v>
      </c>
      <c r="C25" s="20" t="e">
        <f t="shared" si="1"/>
        <v>#N/A</v>
      </c>
      <c r="D25" s="20" t="e">
        <f t="shared" si="2"/>
        <v>#N/A</v>
      </c>
      <c r="E25" s="25">
        <v>7</v>
      </c>
      <c r="F25" s="25">
        <f t="shared" si="3"/>
        <v>58.823529411764703</v>
      </c>
      <c r="G25" s="14">
        <f t="shared" si="0"/>
        <v>0.58823529411764708</v>
      </c>
      <c r="H25" s="11"/>
      <c r="I25" s="12">
        <f t="shared" si="4"/>
        <v>3.7448221903975377E-2</v>
      </c>
      <c r="J25" s="13">
        <f t="shared" si="8"/>
        <v>37.44822190397538</v>
      </c>
      <c r="K25" s="11"/>
      <c r="L25" s="14" t="e">
        <f t="shared" si="6"/>
        <v>#N/A</v>
      </c>
      <c r="M25" s="14" t="e">
        <f t="shared" si="7"/>
        <v>#N/A</v>
      </c>
    </row>
    <row r="26" spans="1:14" x14ac:dyDescent="0.25">
      <c r="A26" s="19">
        <f>VBA!B18</f>
        <v>0</v>
      </c>
      <c r="B26" s="19">
        <f>VBA!B19</f>
        <v>0</v>
      </c>
      <c r="C26" s="20" t="e">
        <f t="shared" si="1"/>
        <v>#N/A</v>
      </c>
      <c r="D26" s="20" t="e">
        <f t="shared" si="2"/>
        <v>#N/A</v>
      </c>
      <c r="E26" s="25">
        <v>8</v>
      </c>
      <c r="F26" s="25">
        <f t="shared" si="3"/>
        <v>55.55555555555555</v>
      </c>
      <c r="G26" s="14">
        <f t="shared" si="0"/>
        <v>0.55555555555555547</v>
      </c>
      <c r="H26" s="11"/>
      <c r="I26" s="12">
        <f t="shared" si="4"/>
        <v>3.5367765131532294E-2</v>
      </c>
      <c r="J26" s="13">
        <f t="shared" si="8"/>
        <v>35.367765131532295</v>
      </c>
      <c r="K26" s="11"/>
      <c r="L26" s="14" t="e">
        <f t="shared" si="6"/>
        <v>#N/A</v>
      </c>
      <c r="M26" s="14" t="e">
        <f t="shared" si="7"/>
        <v>#N/A</v>
      </c>
    </row>
    <row r="27" spans="1:14" x14ac:dyDescent="0.25">
      <c r="A27" s="19">
        <f>VBA!B20</f>
        <v>0</v>
      </c>
      <c r="B27" s="19">
        <f>VBA!B21</f>
        <v>0</v>
      </c>
      <c r="C27" s="20" t="e">
        <f t="shared" si="1"/>
        <v>#N/A</v>
      </c>
      <c r="D27" s="20" t="e">
        <f t="shared" si="2"/>
        <v>#N/A</v>
      </c>
      <c r="E27" s="25">
        <v>9</v>
      </c>
      <c r="F27" s="25">
        <f t="shared" si="3"/>
        <v>52.631578947368418</v>
      </c>
      <c r="G27" s="14">
        <f t="shared" si="0"/>
        <v>0.52631578947368418</v>
      </c>
      <c r="H27" s="11"/>
      <c r="I27" s="12">
        <f t="shared" si="4"/>
        <v>3.3506303808820075E-2</v>
      </c>
      <c r="J27" s="13">
        <f t="shared" si="8"/>
        <v>33.506303808820071</v>
      </c>
      <c r="K27" s="11"/>
      <c r="L27" s="14" t="e">
        <f t="shared" si="6"/>
        <v>#N/A</v>
      </c>
      <c r="M27" s="14" t="e">
        <f t="shared" si="7"/>
        <v>#N/A</v>
      </c>
    </row>
    <row r="28" spans="1:14" x14ac:dyDescent="0.25">
      <c r="A28" s="19">
        <f>VBA!B22</f>
        <v>0</v>
      </c>
      <c r="B28" s="19">
        <f>VBA!B23</f>
        <v>0</v>
      </c>
      <c r="C28" s="20" t="e">
        <f t="shared" si="1"/>
        <v>#N/A</v>
      </c>
      <c r="D28" s="20" t="e">
        <f t="shared" si="2"/>
        <v>#N/A</v>
      </c>
      <c r="E28" s="25">
        <v>10</v>
      </c>
      <c r="F28" s="25">
        <f t="shared" si="3"/>
        <v>50</v>
      </c>
      <c r="G28" s="14">
        <f t="shared" si="0"/>
        <v>0.5</v>
      </c>
      <c r="H28" s="11"/>
      <c r="I28" s="12">
        <f t="shared" si="4"/>
        <v>3.1830988618379068E-2</v>
      </c>
      <c r="J28" s="13">
        <f t="shared" si="8"/>
        <v>31.830988618379067</v>
      </c>
      <c r="K28" s="11"/>
      <c r="L28" s="14" t="e">
        <f t="shared" si="6"/>
        <v>#N/A</v>
      </c>
      <c r="M28" s="14" t="e">
        <f t="shared" si="7"/>
        <v>#N/A</v>
      </c>
    </row>
    <row r="29" spans="1:14" x14ac:dyDescent="0.25">
      <c r="A29" s="19">
        <f>VBA!B24</f>
        <v>0</v>
      </c>
      <c r="B29" s="19">
        <f>VBA!B25</f>
        <v>0</v>
      </c>
      <c r="C29" s="20" t="e">
        <f t="shared" si="1"/>
        <v>#N/A</v>
      </c>
      <c r="D29" s="20" t="e">
        <f t="shared" si="2"/>
        <v>#N/A</v>
      </c>
      <c r="E29" s="25">
        <v>11</v>
      </c>
      <c r="F29" s="25">
        <f t="shared" si="3"/>
        <v>47.619047619047613</v>
      </c>
      <c r="G29" s="14">
        <f t="shared" si="0"/>
        <v>0.47619047619047611</v>
      </c>
      <c r="H29" s="11"/>
      <c r="I29" s="12">
        <f t="shared" si="4"/>
        <v>3.0315227255599108E-2</v>
      </c>
      <c r="J29" s="13">
        <f t="shared" si="8"/>
        <v>30.315227255599108</v>
      </c>
      <c r="K29" s="11"/>
      <c r="L29" s="14" t="e">
        <f t="shared" si="6"/>
        <v>#N/A</v>
      </c>
      <c r="M29" s="14" t="e">
        <f t="shared" si="7"/>
        <v>#N/A</v>
      </c>
    </row>
    <row r="30" spans="1:14" x14ac:dyDescent="0.25">
      <c r="A30" s="19">
        <f>VBA!B26</f>
        <v>0</v>
      </c>
      <c r="B30" s="19">
        <f>VBA!B27</f>
        <v>0</v>
      </c>
      <c r="C30" s="20" t="e">
        <f t="shared" si="1"/>
        <v>#N/A</v>
      </c>
      <c r="D30" s="20" t="e">
        <f t="shared" si="2"/>
        <v>#N/A</v>
      </c>
      <c r="E30" s="25">
        <v>12</v>
      </c>
      <c r="F30" s="25">
        <f t="shared" si="3"/>
        <v>45.454545454545453</v>
      </c>
      <c r="G30" s="14">
        <f t="shared" si="0"/>
        <v>0.45454545454545453</v>
      </c>
      <c r="H30" s="11"/>
      <c r="I30" s="12">
        <f t="shared" si="4"/>
        <v>2.8937262380344605E-2</v>
      </c>
      <c r="J30" s="13">
        <f t="shared" si="8"/>
        <v>28.937262380344606</v>
      </c>
      <c r="K30" s="11"/>
      <c r="L30" s="14" t="e">
        <f t="shared" si="6"/>
        <v>#N/A</v>
      </c>
      <c r="M30" s="14" t="e">
        <f t="shared" si="7"/>
        <v>#N/A</v>
      </c>
    </row>
    <row r="31" spans="1:14" x14ac:dyDescent="0.25">
      <c r="A31" s="19">
        <f>VBA!B28</f>
        <v>0</v>
      </c>
      <c r="B31" s="19">
        <f>VBA!B29</f>
        <v>0</v>
      </c>
      <c r="C31" s="20" t="e">
        <f t="shared" si="1"/>
        <v>#N/A</v>
      </c>
      <c r="D31" s="20" t="e">
        <f t="shared" si="2"/>
        <v>#N/A</v>
      </c>
      <c r="E31" s="25">
        <v>13</v>
      </c>
      <c r="F31" s="25">
        <f t="shared" si="3"/>
        <v>43.478260869565219</v>
      </c>
      <c r="G31" s="14">
        <f t="shared" si="0"/>
        <v>0.43478260869565216</v>
      </c>
      <c r="H31" s="11"/>
      <c r="I31" s="12">
        <f t="shared" si="4"/>
        <v>2.7679120537720932E-2</v>
      </c>
      <c r="J31" s="13">
        <f t="shared" si="8"/>
        <v>27.67912053772093</v>
      </c>
      <c r="K31" s="11"/>
      <c r="L31" s="14" t="e">
        <f t="shared" si="6"/>
        <v>#N/A</v>
      </c>
      <c r="M31" s="14" t="e">
        <f t="shared" si="7"/>
        <v>#N/A</v>
      </c>
    </row>
    <row r="32" spans="1:14" x14ac:dyDescent="0.25">
      <c r="A32" s="19">
        <f>VBA!B30</f>
        <v>0</v>
      </c>
      <c r="B32" s="19">
        <f>VBA!B31</f>
        <v>0</v>
      </c>
      <c r="C32" s="20" t="e">
        <f t="shared" si="1"/>
        <v>#N/A</v>
      </c>
      <c r="D32" s="20" t="e">
        <f t="shared" si="2"/>
        <v>#N/A</v>
      </c>
      <c r="E32" s="25">
        <v>14</v>
      </c>
      <c r="F32" s="25">
        <f t="shared" si="3"/>
        <v>41.666666666666664</v>
      </c>
      <c r="G32" s="14">
        <f t="shared" si="0"/>
        <v>0.41666666666666663</v>
      </c>
      <c r="H32" s="11"/>
      <c r="I32" s="12">
        <f t="shared" si="4"/>
        <v>2.6525823848649221E-2</v>
      </c>
      <c r="J32" s="13">
        <f t="shared" si="8"/>
        <v>26.525823848649221</v>
      </c>
      <c r="K32" s="11"/>
      <c r="L32" s="14" t="e">
        <f t="shared" si="6"/>
        <v>#N/A</v>
      </c>
      <c r="M32" s="14" t="e">
        <f t="shared" si="7"/>
        <v>#N/A</v>
      </c>
    </row>
    <row r="33" spans="1:17" x14ac:dyDescent="0.25">
      <c r="A33" s="19">
        <f>VBA!B32</f>
        <v>0</v>
      </c>
      <c r="B33" s="19">
        <f>VBA!B33</f>
        <v>0</v>
      </c>
      <c r="C33" s="20" t="e">
        <f t="shared" si="1"/>
        <v>#N/A</v>
      </c>
      <c r="D33" s="20" t="e">
        <f t="shared" si="2"/>
        <v>#N/A</v>
      </c>
      <c r="E33" s="25">
        <v>15</v>
      </c>
      <c r="F33" s="25">
        <f t="shared" si="3"/>
        <v>40</v>
      </c>
      <c r="G33" s="14">
        <f t="shared" si="0"/>
        <v>0.4</v>
      </c>
      <c r="H33" s="11"/>
      <c r="I33" s="12">
        <f t="shared" si="4"/>
        <v>2.5464790894703257E-2</v>
      </c>
      <c r="J33" s="13">
        <f t="shared" si="8"/>
        <v>25.464790894703256</v>
      </c>
      <c r="K33" s="11"/>
      <c r="L33" s="14" t="e">
        <f t="shared" si="6"/>
        <v>#N/A</v>
      </c>
      <c r="M33" s="14" t="e">
        <f t="shared" si="7"/>
        <v>#N/A</v>
      </c>
    </row>
    <row r="34" spans="1:17" x14ac:dyDescent="0.25">
      <c r="A34" s="19">
        <f>VBA!B34</f>
        <v>0</v>
      </c>
      <c r="B34" s="19">
        <f>VBA!B35</f>
        <v>0</v>
      </c>
      <c r="C34" s="20" t="e">
        <f t="shared" si="1"/>
        <v>#N/A</v>
      </c>
      <c r="D34" s="20" t="e">
        <f t="shared" si="2"/>
        <v>#N/A</v>
      </c>
      <c r="E34" s="25">
        <v>16</v>
      </c>
      <c r="F34" s="25">
        <f t="shared" si="3"/>
        <v>38.461538461538467</v>
      </c>
      <c r="G34" s="14">
        <f t="shared" si="0"/>
        <v>0.38461538461538469</v>
      </c>
      <c r="H34" s="11"/>
      <c r="I34" s="12">
        <f t="shared" si="4"/>
        <v>2.4485375860291595E-2</v>
      </c>
      <c r="J34" s="13">
        <f t="shared" si="8"/>
        <v>24.485375860291594</v>
      </c>
      <c r="K34" s="11"/>
      <c r="L34" s="14" t="e">
        <f t="shared" si="6"/>
        <v>#N/A</v>
      </c>
      <c r="M34" s="14" t="e">
        <f t="shared" si="7"/>
        <v>#N/A</v>
      </c>
    </row>
    <row r="35" spans="1:17" x14ac:dyDescent="0.25">
      <c r="A35" s="19">
        <f>VBA!B36</f>
        <v>0</v>
      </c>
      <c r="B35" s="19">
        <f>VBA!B37</f>
        <v>0</v>
      </c>
      <c r="C35" s="20" t="e">
        <f t="shared" si="1"/>
        <v>#N/A</v>
      </c>
      <c r="D35" s="20" t="e">
        <f t="shared" si="2"/>
        <v>#N/A</v>
      </c>
      <c r="E35" s="25">
        <v>17</v>
      </c>
      <c r="F35" s="25">
        <f t="shared" si="3"/>
        <v>37.037037037037038</v>
      </c>
      <c r="G35" s="14">
        <f t="shared" si="0"/>
        <v>0.37037037037037041</v>
      </c>
      <c r="H35" s="11"/>
      <c r="I35" s="12">
        <f t="shared" si="4"/>
        <v>2.3578510087688201E-2</v>
      </c>
      <c r="J35" s="13">
        <f t="shared" si="8"/>
        <v>23.578510087688201</v>
      </c>
      <c r="K35" s="11"/>
      <c r="L35" s="14" t="e">
        <f t="shared" si="6"/>
        <v>#N/A</v>
      </c>
      <c r="M35" s="14" t="e">
        <f t="shared" si="7"/>
        <v>#N/A</v>
      </c>
    </row>
    <row r="36" spans="1:17" x14ac:dyDescent="0.25">
      <c r="A36" s="19">
        <f>VBA!B38</f>
        <v>0</v>
      </c>
      <c r="B36" s="19">
        <f>VBA!B39</f>
        <v>0</v>
      </c>
      <c r="C36" s="20" t="e">
        <f t="shared" si="1"/>
        <v>#N/A</v>
      </c>
      <c r="D36" s="20" t="e">
        <f t="shared" si="2"/>
        <v>#N/A</v>
      </c>
      <c r="E36" s="25">
        <v>18</v>
      </c>
      <c r="F36" s="25">
        <f t="shared" si="3"/>
        <v>35.714285714285715</v>
      </c>
      <c r="G36" s="14">
        <f t="shared" si="0"/>
        <v>0.35714285714285715</v>
      </c>
      <c r="H36" s="11"/>
      <c r="I36" s="12">
        <f t="shared" si="4"/>
        <v>2.2736420441699334E-2</v>
      </c>
      <c r="J36" s="13">
        <f t="shared" si="8"/>
        <v>22.736420441699334</v>
      </c>
      <c r="K36" s="11"/>
      <c r="L36" s="14" t="e">
        <f t="shared" si="6"/>
        <v>#N/A</v>
      </c>
      <c r="M36" s="14" t="e">
        <f t="shared" si="7"/>
        <v>#N/A</v>
      </c>
    </row>
    <row r="37" spans="1:17" x14ac:dyDescent="0.25">
      <c r="A37" s="19">
        <f>VBA!B40</f>
        <v>0</v>
      </c>
      <c r="B37" s="19">
        <f>VBA!B41</f>
        <v>0</v>
      </c>
      <c r="C37" s="20" t="e">
        <f t="shared" si="1"/>
        <v>#N/A</v>
      </c>
      <c r="D37" s="20" t="e">
        <f t="shared" si="2"/>
        <v>#N/A</v>
      </c>
      <c r="E37" s="25">
        <v>19</v>
      </c>
      <c r="F37" s="25">
        <f t="shared" si="3"/>
        <v>34.482758620689651</v>
      </c>
      <c r="G37" s="14">
        <f t="shared" si="0"/>
        <v>0.34482758620689652</v>
      </c>
      <c r="H37" s="11"/>
      <c r="I37" s="12">
        <f t="shared" si="4"/>
        <v>2.1952405943709698E-2</v>
      </c>
      <c r="J37" s="13">
        <f t="shared" si="8"/>
        <v>21.952405943709699</v>
      </c>
      <c r="K37" s="11"/>
      <c r="L37" s="14" t="e">
        <f t="shared" si="6"/>
        <v>#N/A</v>
      </c>
      <c r="M37" s="14" t="e">
        <f t="shared" si="7"/>
        <v>#N/A</v>
      </c>
    </row>
    <row r="38" spans="1:17" x14ac:dyDescent="0.25">
      <c r="A38" s="19">
        <f>VBA!B42</f>
        <v>0</v>
      </c>
      <c r="B38" s="19">
        <f>VBA!B43</f>
        <v>0</v>
      </c>
      <c r="C38" s="20" t="e">
        <f t="shared" si="1"/>
        <v>#N/A</v>
      </c>
      <c r="D38" s="20" t="e">
        <f t="shared" si="2"/>
        <v>#N/A</v>
      </c>
      <c r="E38" s="25">
        <v>20</v>
      </c>
      <c r="F38" s="25">
        <f t="shared" si="3"/>
        <v>33.333333333333336</v>
      </c>
      <c r="G38" s="14">
        <f t="shared" si="0"/>
        <v>0.33333333333333337</v>
      </c>
      <c r="H38" s="11"/>
      <c r="I38" s="12">
        <f t="shared" si="4"/>
        <v>2.1220659078919377E-2</v>
      </c>
      <c r="J38" s="13">
        <f t="shared" si="8"/>
        <v>21.220659078919379</v>
      </c>
      <c r="K38" s="11"/>
      <c r="L38" s="14" t="e">
        <f t="shared" si="6"/>
        <v>#N/A</v>
      </c>
      <c r="M38" s="14" t="e">
        <f t="shared" si="7"/>
        <v>#N/A</v>
      </c>
    </row>
    <row r="39" spans="1:17" x14ac:dyDescent="0.25">
      <c r="A39" s="19">
        <f>VBA!B44</f>
        <v>0</v>
      </c>
      <c r="B39" s="19">
        <f>VBA!B45</f>
        <v>0</v>
      </c>
      <c r="C39" s="20" t="e">
        <f t="shared" si="1"/>
        <v>#N/A</v>
      </c>
      <c r="D39" s="20" t="e">
        <f t="shared" si="2"/>
        <v>#N/A</v>
      </c>
      <c r="E39" s="25">
        <v>21</v>
      </c>
      <c r="F39" s="25">
        <f t="shared" si="3"/>
        <v>32.258064516129032</v>
      </c>
      <c r="G39" s="14">
        <f t="shared" si="0"/>
        <v>0.32258064516129031</v>
      </c>
      <c r="H39" s="11"/>
      <c r="I39" s="12">
        <f t="shared" si="4"/>
        <v>2.0536121689276817E-2</v>
      </c>
      <c r="J39" s="13">
        <f t="shared" si="8"/>
        <v>20.536121689276818</v>
      </c>
      <c r="K39" s="11"/>
      <c r="L39" s="14" t="e">
        <f t="shared" si="6"/>
        <v>#N/A</v>
      </c>
      <c r="M39" s="14" t="e">
        <f t="shared" si="7"/>
        <v>#N/A</v>
      </c>
    </row>
    <row r="40" spans="1:17" x14ac:dyDescent="0.25">
      <c r="A40" s="19">
        <f>VBA!B46</f>
        <v>0</v>
      </c>
      <c r="B40" s="19">
        <f>VBA!B47</f>
        <v>0</v>
      </c>
      <c r="C40" s="20" t="e">
        <f t="shared" si="1"/>
        <v>#N/A</v>
      </c>
      <c r="D40" s="20" t="e">
        <f t="shared" si="2"/>
        <v>#N/A</v>
      </c>
      <c r="E40" s="25">
        <v>22</v>
      </c>
      <c r="F40" s="25">
        <f t="shared" si="3"/>
        <v>31.25</v>
      </c>
      <c r="G40" s="14">
        <f t="shared" si="0"/>
        <v>0.3125</v>
      </c>
      <c r="H40" s="11"/>
      <c r="I40" s="12">
        <f t="shared" si="4"/>
        <v>1.9894367886486918E-2</v>
      </c>
      <c r="J40" s="13">
        <f t="shared" si="8"/>
        <v>19.894367886486918</v>
      </c>
      <c r="K40" s="11"/>
      <c r="L40" s="14" t="e">
        <f t="shared" si="6"/>
        <v>#N/A</v>
      </c>
      <c r="M40" s="14" t="e">
        <f t="shared" si="7"/>
        <v>#N/A</v>
      </c>
    </row>
    <row r="41" spans="1:17" x14ac:dyDescent="0.25">
      <c r="A41" s="19">
        <f>VBA!B48</f>
        <v>0</v>
      </c>
      <c r="B41" s="19">
        <f>VBA!B49</f>
        <v>0</v>
      </c>
      <c r="C41" s="20" t="e">
        <f t="shared" si="1"/>
        <v>#N/A</v>
      </c>
      <c r="D41" s="20" t="e">
        <f t="shared" si="2"/>
        <v>#N/A</v>
      </c>
      <c r="E41" s="25">
        <v>23</v>
      </c>
      <c r="F41" s="25">
        <f t="shared" si="3"/>
        <v>30.303030303030305</v>
      </c>
      <c r="G41" s="14">
        <f t="shared" si="0"/>
        <v>0.30303030303030304</v>
      </c>
      <c r="H41" s="11"/>
      <c r="I41" s="12">
        <f t="shared" si="4"/>
        <v>1.9291508253563072E-2</v>
      </c>
      <c r="J41" s="13">
        <f t="shared" si="8"/>
        <v>19.291508253563073</v>
      </c>
      <c r="K41" s="11"/>
      <c r="L41" s="14" t="e">
        <f t="shared" si="6"/>
        <v>#N/A</v>
      </c>
      <c r="M41" s="14" t="e">
        <f t="shared" si="7"/>
        <v>#N/A</v>
      </c>
    </row>
    <row r="42" spans="1:17" x14ac:dyDescent="0.25">
      <c r="A42" s="19">
        <f>VBA!B50</f>
        <v>0</v>
      </c>
      <c r="B42" s="19">
        <f>VBA!B51</f>
        <v>0</v>
      </c>
      <c r="C42" s="20" t="e">
        <f>IF(AND(A42&gt;0,B42&gt;0),(A42-B42)/(A42+B42),NA())</f>
        <v>#N/A</v>
      </c>
      <c r="D42" s="20" t="e">
        <f t="shared" si="2"/>
        <v>#N/A</v>
      </c>
      <c r="E42" s="25">
        <v>24</v>
      </c>
      <c r="F42" s="25">
        <f t="shared" si="3"/>
        <v>29.411764705882351</v>
      </c>
      <c r="G42" s="14">
        <f t="shared" si="0"/>
        <v>0.29411764705882354</v>
      </c>
      <c r="H42" s="11"/>
      <c r="I42" s="12">
        <f t="shared" si="4"/>
        <v>1.8724110951987689E-2</v>
      </c>
      <c r="J42" s="13">
        <f t="shared" si="8"/>
        <v>18.72411095198769</v>
      </c>
      <c r="K42" s="11"/>
      <c r="L42" s="14" t="e">
        <f t="shared" si="6"/>
        <v>#N/A</v>
      </c>
      <c r="M42" s="14" t="e">
        <f t="shared" si="7"/>
        <v>#N/A</v>
      </c>
    </row>
    <row r="43" spans="1:17" x14ac:dyDescent="0.25">
      <c r="A43" s="19">
        <f>VBA!B52</f>
        <v>0</v>
      </c>
      <c r="B43" s="19">
        <f>VBA!B53</f>
        <v>0</v>
      </c>
      <c r="C43" s="20" t="e">
        <f t="shared" si="1"/>
        <v>#N/A</v>
      </c>
      <c r="D43" s="20" t="e">
        <f t="shared" si="2"/>
        <v>#N/A</v>
      </c>
      <c r="E43" s="25">
        <v>25</v>
      </c>
      <c r="F43" s="25">
        <f t="shared" si="3"/>
        <v>28.571428571428569</v>
      </c>
      <c r="G43" s="14">
        <f t="shared" si="0"/>
        <v>0.2857142857142857</v>
      </c>
      <c r="H43" s="11"/>
      <c r="I43" s="12">
        <f t="shared" si="4"/>
        <v>1.8189136353359465E-2</v>
      </c>
      <c r="J43" s="13">
        <f t="shared" si="8"/>
        <v>18.189136353359466</v>
      </c>
      <c r="K43" s="11"/>
      <c r="L43" s="14" t="e">
        <f t="shared" si="6"/>
        <v>#N/A</v>
      </c>
      <c r="M43" s="14" t="e">
        <f t="shared" si="7"/>
        <v>#N/A</v>
      </c>
    </row>
    <row r="44" spans="1:17" x14ac:dyDescent="0.25">
      <c r="A44" s="19">
        <f>VBA!B54</f>
        <v>0</v>
      </c>
      <c r="B44" s="19">
        <f>VBA!B55</f>
        <v>0</v>
      </c>
      <c r="C44" s="20" t="e">
        <f t="shared" si="1"/>
        <v>#N/A</v>
      </c>
      <c r="D44" s="20" t="e">
        <f t="shared" si="2"/>
        <v>#N/A</v>
      </c>
      <c r="E44" s="25">
        <v>26</v>
      </c>
      <c r="F44" s="25">
        <f t="shared" si="3"/>
        <v>27.777777777777775</v>
      </c>
      <c r="G44" s="14">
        <f t="shared" si="0"/>
        <v>0.27777777777777773</v>
      </c>
      <c r="H44" s="11"/>
      <c r="I44" s="12">
        <f t="shared" si="4"/>
        <v>1.7683882565766147E-2</v>
      </c>
      <c r="J44" s="13">
        <f t="shared" si="8"/>
        <v>17.683882565766147</v>
      </c>
      <c r="K44" s="11"/>
      <c r="L44" s="14" t="e">
        <f t="shared" si="6"/>
        <v>#N/A</v>
      </c>
      <c r="M44" s="14" t="e">
        <f t="shared" si="7"/>
        <v>#N/A</v>
      </c>
    </row>
    <row r="45" spans="1:17" x14ac:dyDescent="0.25">
      <c r="A45" s="19">
        <f>VBA!B56</f>
        <v>0</v>
      </c>
      <c r="B45" s="19">
        <f>VBA!B57</f>
        <v>0</v>
      </c>
      <c r="C45" s="20" t="e">
        <f t="shared" si="1"/>
        <v>#N/A</v>
      </c>
      <c r="D45" s="20" t="e">
        <f t="shared" si="2"/>
        <v>#N/A</v>
      </c>
      <c r="E45" s="25">
        <v>27</v>
      </c>
      <c r="F45" s="25">
        <f t="shared" si="3"/>
        <v>27.027027027027028</v>
      </c>
      <c r="G45" s="14">
        <f t="shared" si="0"/>
        <v>0.27027027027027029</v>
      </c>
      <c r="H45" s="11"/>
      <c r="I45" s="12">
        <f t="shared" si="4"/>
        <v>1.7205939793718414E-2</v>
      </c>
      <c r="J45" s="13">
        <f t="shared" si="8"/>
        <v>17.205939793718414</v>
      </c>
      <c r="K45" s="11"/>
      <c r="L45" s="14" t="e">
        <f t="shared" si="6"/>
        <v>#N/A</v>
      </c>
      <c r="M45" s="14" t="e">
        <f t="shared" si="7"/>
        <v>#N/A</v>
      </c>
    </row>
    <row r="46" spans="1:17" x14ac:dyDescent="0.25">
      <c r="A46" s="19">
        <f>VBA!B58</f>
        <v>0</v>
      </c>
      <c r="B46" s="19">
        <f>VBA!B59</f>
        <v>0</v>
      </c>
      <c r="C46" s="20" t="e">
        <f t="shared" si="1"/>
        <v>#N/A</v>
      </c>
      <c r="D46" s="20" t="e">
        <f t="shared" si="2"/>
        <v>#N/A</v>
      </c>
      <c r="E46" s="25">
        <v>28</v>
      </c>
      <c r="F46" s="25">
        <f t="shared" si="3"/>
        <v>26.315789473684209</v>
      </c>
      <c r="G46" s="14">
        <f t="shared" si="0"/>
        <v>0.26315789473684209</v>
      </c>
      <c r="H46" s="11"/>
      <c r="I46" s="12">
        <f t="shared" si="4"/>
        <v>1.6753151904410037E-2</v>
      </c>
      <c r="J46" s="13">
        <f t="shared" si="8"/>
        <v>16.753151904410036</v>
      </c>
      <c r="K46" s="11"/>
      <c r="L46" s="14" t="e">
        <f t="shared" si="6"/>
        <v>#N/A</v>
      </c>
      <c r="M46" s="14" t="e">
        <f t="shared" si="7"/>
        <v>#N/A</v>
      </c>
      <c r="Q46" s="34"/>
    </row>
    <row r="47" spans="1:17" x14ac:dyDescent="0.25">
      <c r="A47" s="19">
        <f>VBA!B60</f>
        <v>0</v>
      </c>
      <c r="B47" s="19">
        <f>VBA!B61</f>
        <v>0</v>
      </c>
      <c r="C47" s="20" t="e">
        <f t="shared" si="1"/>
        <v>#N/A</v>
      </c>
      <c r="D47" s="20" t="e">
        <f t="shared" si="2"/>
        <v>#N/A</v>
      </c>
      <c r="E47" s="25">
        <v>29</v>
      </c>
      <c r="F47" s="25">
        <f t="shared" si="3"/>
        <v>25.641025641025639</v>
      </c>
      <c r="G47" s="14">
        <f t="shared" si="0"/>
        <v>0.25641025641025639</v>
      </c>
      <c r="H47" s="11"/>
      <c r="I47" s="12">
        <f t="shared" si="4"/>
        <v>1.6323583906861061E-2</v>
      </c>
      <c r="J47" s="13">
        <f t="shared" si="8"/>
        <v>16.32358390686106</v>
      </c>
      <c r="K47" s="11"/>
      <c r="L47" s="14" t="e">
        <f t="shared" si="6"/>
        <v>#N/A</v>
      </c>
      <c r="M47" s="14" t="e">
        <f t="shared" si="7"/>
        <v>#N/A</v>
      </c>
    </row>
    <row r="48" spans="1:17" x14ac:dyDescent="0.25">
      <c r="A48" s="19">
        <f>VBA!B62</f>
        <v>0</v>
      </c>
      <c r="B48" s="19">
        <f>VBA!B63</f>
        <v>0</v>
      </c>
      <c r="C48" s="20" t="e">
        <f t="shared" si="1"/>
        <v>#N/A</v>
      </c>
      <c r="D48" s="20" t="e">
        <f t="shared" si="2"/>
        <v>#N/A</v>
      </c>
      <c r="E48" s="25">
        <v>30</v>
      </c>
      <c r="F48" s="25">
        <f t="shared" si="3"/>
        <v>25</v>
      </c>
      <c r="G48" s="14">
        <f t="shared" si="0"/>
        <v>0.25</v>
      </c>
      <c r="H48" s="11"/>
      <c r="I48" s="12">
        <f t="shared" si="4"/>
        <v>1.5915494309189534E-2</v>
      </c>
      <c r="J48" s="13">
        <f t="shared" si="8"/>
        <v>15.915494309189533</v>
      </c>
      <c r="K48" s="11"/>
      <c r="L48" s="14" t="e">
        <f t="shared" si="6"/>
        <v>#N/A</v>
      </c>
      <c r="M48" s="14" t="e">
        <f t="shared" si="7"/>
        <v>#N/A</v>
      </c>
    </row>
    <row r="49" spans="1:13" x14ac:dyDescent="0.25">
      <c r="A49" s="19">
        <f>VBA!B64</f>
        <v>0</v>
      </c>
      <c r="B49" s="19">
        <f>VBA!B65</f>
        <v>0</v>
      </c>
      <c r="C49" s="20" t="e">
        <f t="shared" si="1"/>
        <v>#N/A</v>
      </c>
      <c r="D49" s="20" t="e">
        <f t="shared" si="2"/>
        <v>#N/A</v>
      </c>
      <c r="E49" s="25">
        <v>31</v>
      </c>
      <c r="F49" s="25">
        <f t="shared" si="3"/>
        <v>24.390243902439025</v>
      </c>
      <c r="G49" s="14">
        <f t="shared" si="0"/>
        <v>0.24390243902439024</v>
      </c>
      <c r="H49" s="11"/>
      <c r="I49" s="12">
        <f t="shared" si="4"/>
        <v>1.5527311521160521E-2</v>
      </c>
      <c r="J49" s="13">
        <f t="shared" si="8"/>
        <v>15.527311521160522</v>
      </c>
      <c r="K49" s="11"/>
      <c r="L49" s="14" t="e">
        <f t="shared" si="6"/>
        <v>#N/A</v>
      </c>
      <c r="M49" s="14" t="e">
        <f t="shared" si="7"/>
        <v>#N/A</v>
      </c>
    </row>
    <row r="50" spans="1:13" x14ac:dyDescent="0.25">
      <c r="A50" s="19">
        <f>VBA!B66</f>
        <v>0</v>
      </c>
      <c r="B50" s="19">
        <f>VBA!B67</f>
        <v>0</v>
      </c>
      <c r="C50" s="20" t="e">
        <f t="shared" si="1"/>
        <v>#N/A</v>
      </c>
      <c r="D50" s="20" t="e">
        <f t="shared" si="2"/>
        <v>#N/A</v>
      </c>
      <c r="E50" s="25">
        <v>32</v>
      </c>
      <c r="F50" s="25">
        <f t="shared" si="3"/>
        <v>23.809523809523807</v>
      </c>
      <c r="G50" s="14">
        <f t="shared" ref="G50:G81" si="9">($G$11*F50)/100</f>
        <v>0.23809523809523805</v>
      </c>
      <c r="H50" s="11"/>
      <c r="I50" s="12">
        <f t="shared" si="4"/>
        <v>1.5157613627799554E-2</v>
      </c>
      <c r="J50" s="13">
        <f t="shared" si="8"/>
        <v>15.157613627799554</v>
      </c>
      <c r="K50" s="11"/>
      <c r="L50" s="14" t="e">
        <f t="shared" si="6"/>
        <v>#N/A</v>
      </c>
      <c r="M50" s="14" t="e">
        <f t="shared" si="7"/>
        <v>#N/A</v>
      </c>
    </row>
    <row r="51" spans="1:13" x14ac:dyDescent="0.25">
      <c r="A51" s="19">
        <f>VBA!B68</f>
        <v>0</v>
      </c>
      <c r="B51" s="19">
        <f>VBA!B69</f>
        <v>0</v>
      </c>
      <c r="C51" s="20" t="e">
        <f t="shared" si="1"/>
        <v>#N/A</v>
      </c>
      <c r="D51" s="20" t="e">
        <f t="shared" si="2"/>
        <v>#N/A</v>
      </c>
      <c r="E51" s="25">
        <v>33</v>
      </c>
      <c r="F51" s="25">
        <f t="shared" si="3"/>
        <v>23.255813953488371</v>
      </c>
      <c r="G51" s="14">
        <f t="shared" si="9"/>
        <v>0.23255813953488372</v>
      </c>
      <c r="H51" s="11"/>
      <c r="I51" s="12">
        <f t="shared" si="4"/>
        <v>1.480511098529259E-2</v>
      </c>
      <c r="J51" s="13">
        <f t="shared" si="8"/>
        <v>14.80511098529259</v>
      </c>
      <c r="K51" s="11"/>
      <c r="L51" s="14" t="e">
        <f t="shared" si="6"/>
        <v>#N/A</v>
      </c>
      <c r="M51" s="14" t="e">
        <f t="shared" si="7"/>
        <v>#N/A</v>
      </c>
    </row>
    <row r="52" spans="1:13" x14ac:dyDescent="0.25">
      <c r="A52" s="19">
        <f>VBA!B70</f>
        <v>0</v>
      </c>
      <c r="B52" s="19">
        <f>VBA!B71</f>
        <v>0</v>
      </c>
      <c r="C52" s="20" t="e">
        <f t="shared" si="1"/>
        <v>#N/A</v>
      </c>
      <c r="D52" s="20" t="e">
        <f t="shared" si="2"/>
        <v>#N/A</v>
      </c>
      <c r="E52" s="25">
        <v>34</v>
      </c>
      <c r="F52" s="25">
        <f t="shared" si="3"/>
        <v>22.727272727272727</v>
      </c>
      <c r="G52" s="14">
        <f t="shared" si="9"/>
        <v>0.22727272727272727</v>
      </c>
      <c r="H52" s="11"/>
      <c r="I52" s="12">
        <f t="shared" si="4"/>
        <v>1.4468631190172302E-2</v>
      </c>
      <c r="J52" s="13">
        <f t="shared" si="8"/>
        <v>14.468631190172303</v>
      </c>
      <c r="K52" s="11"/>
      <c r="L52" s="14" t="e">
        <f t="shared" si="6"/>
        <v>#N/A</v>
      </c>
      <c r="M52" s="14" t="e">
        <f t="shared" si="7"/>
        <v>#N/A</v>
      </c>
    </row>
    <row r="53" spans="1:13" x14ac:dyDescent="0.25">
      <c r="A53" s="19">
        <f>VBA!B72</f>
        <v>0</v>
      </c>
      <c r="B53" s="19">
        <f>VBA!B73</f>
        <v>0</v>
      </c>
      <c r="C53" s="20" t="e">
        <f t="shared" si="1"/>
        <v>#N/A</v>
      </c>
      <c r="D53" s="20" t="e">
        <f t="shared" si="2"/>
        <v>#N/A</v>
      </c>
      <c r="E53" s="25">
        <v>35</v>
      </c>
      <c r="F53" s="25">
        <f t="shared" si="3"/>
        <v>22.222222222222221</v>
      </c>
      <c r="G53" s="14">
        <f t="shared" si="9"/>
        <v>0.22222222222222221</v>
      </c>
      <c r="H53" s="11"/>
      <c r="I53" s="12">
        <f t="shared" si="4"/>
        <v>1.4147106052612919E-2</v>
      </c>
      <c r="J53" s="13">
        <f t="shared" si="8"/>
        <v>14.147106052612919</v>
      </c>
      <c r="K53" s="11"/>
      <c r="L53" s="14" t="e">
        <f t="shared" si="6"/>
        <v>#N/A</v>
      </c>
      <c r="M53" s="14" t="e">
        <f t="shared" si="7"/>
        <v>#N/A</v>
      </c>
    </row>
    <row r="54" spans="1:13" x14ac:dyDescent="0.25">
      <c r="A54" s="19">
        <f>VBA!B74</f>
        <v>0</v>
      </c>
      <c r="B54" s="19">
        <f>VBA!B75</f>
        <v>0</v>
      </c>
      <c r="C54" s="20" t="e">
        <f t="shared" si="1"/>
        <v>#N/A</v>
      </c>
      <c r="D54" s="20" t="e">
        <f t="shared" si="2"/>
        <v>#N/A</v>
      </c>
      <c r="E54" s="25">
        <v>36</v>
      </c>
      <c r="F54" s="25">
        <f t="shared" si="3"/>
        <v>21.739130434782609</v>
      </c>
      <c r="G54" s="14">
        <f t="shared" si="9"/>
        <v>0.21739130434782608</v>
      </c>
      <c r="H54" s="11"/>
      <c r="I54" s="12">
        <f t="shared" si="4"/>
        <v>1.3839560268860466E-2</v>
      </c>
      <c r="J54" s="13">
        <f t="shared" si="8"/>
        <v>13.839560268860465</v>
      </c>
      <c r="K54" s="11"/>
      <c r="L54" s="14" t="e">
        <f t="shared" si="6"/>
        <v>#N/A</v>
      </c>
      <c r="M54" s="14" t="e">
        <f t="shared" si="7"/>
        <v>#N/A</v>
      </c>
    </row>
    <row r="55" spans="1:13" x14ac:dyDescent="0.25">
      <c r="A55" s="19">
        <f>VBA!B76</f>
        <v>0</v>
      </c>
      <c r="B55" s="19">
        <f>VBA!B77</f>
        <v>0</v>
      </c>
      <c r="C55" s="20" t="e">
        <f t="shared" si="1"/>
        <v>#N/A</v>
      </c>
      <c r="D55" s="20" t="e">
        <f t="shared" si="2"/>
        <v>#N/A</v>
      </c>
      <c r="E55" s="25">
        <v>37</v>
      </c>
      <c r="F55" s="25">
        <f t="shared" si="3"/>
        <v>21.276595744680851</v>
      </c>
      <c r="G55" s="14">
        <f t="shared" si="9"/>
        <v>0.21276595744680851</v>
      </c>
      <c r="H55" s="11"/>
      <c r="I55" s="12">
        <f t="shared" si="4"/>
        <v>1.3545101539735774E-2</v>
      </c>
      <c r="J55" s="13">
        <f t="shared" si="8"/>
        <v>13.545101539735773</v>
      </c>
      <c r="K55" s="11"/>
      <c r="L55" s="14" t="e">
        <f t="shared" si="6"/>
        <v>#N/A</v>
      </c>
      <c r="M55" s="14" t="e">
        <f t="shared" si="7"/>
        <v>#N/A</v>
      </c>
    </row>
    <row r="56" spans="1:13" x14ac:dyDescent="0.25">
      <c r="A56" s="19">
        <f>VBA!B78</f>
        <v>0</v>
      </c>
      <c r="B56" s="19">
        <f>VBA!B79</f>
        <v>0</v>
      </c>
      <c r="C56" s="20" t="e">
        <f t="shared" si="1"/>
        <v>#N/A</v>
      </c>
      <c r="D56" s="20" t="e">
        <f t="shared" si="2"/>
        <v>#N/A</v>
      </c>
      <c r="E56" s="25">
        <v>38</v>
      </c>
      <c r="F56" s="25">
        <f t="shared" si="3"/>
        <v>20.833333333333332</v>
      </c>
      <c r="G56" s="14">
        <f t="shared" si="9"/>
        <v>0.20833333333333331</v>
      </c>
      <c r="H56" s="11"/>
      <c r="I56" s="12">
        <f t="shared" si="4"/>
        <v>1.326291192432461E-2</v>
      </c>
      <c r="J56" s="13">
        <f t="shared" si="8"/>
        <v>13.262911924324611</v>
      </c>
      <c r="K56" s="11"/>
      <c r="L56" s="14" t="e">
        <f t="shared" si="6"/>
        <v>#N/A</v>
      </c>
      <c r="M56" s="14" t="e">
        <f t="shared" si="7"/>
        <v>#N/A</v>
      </c>
    </row>
    <row r="57" spans="1:13" x14ac:dyDescent="0.25">
      <c r="A57" s="19">
        <f>VBA!B80</f>
        <v>0</v>
      </c>
      <c r="B57" s="19">
        <f>VBA!B81</f>
        <v>0</v>
      </c>
      <c r="C57" s="20" t="e">
        <f t="shared" si="1"/>
        <v>#N/A</v>
      </c>
      <c r="D57" s="20" t="e">
        <f t="shared" si="2"/>
        <v>#N/A</v>
      </c>
      <c r="E57" s="25">
        <v>39</v>
      </c>
      <c r="F57" s="25">
        <f t="shared" si="3"/>
        <v>20.408163265306122</v>
      </c>
      <c r="G57" s="14">
        <f t="shared" si="9"/>
        <v>0.20408163265306123</v>
      </c>
      <c r="H57" s="11"/>
      <c r="I57" s="12">
        <f t="shared" si="4"/>
        <v>1.2992240252399621E-2</v>
      </c>
      <c r="J57" s="13">
        <f t="shared" si="8"/>
        <v>12.99224025239962</v>
      </c>
      <c r="K57" s="11"/>
      <c r="L57" s="14" t="e">
        <f t="shared" si="6"/>
        <v>#N/A</v>
      </c>
      <c r="M57" s="14" t="e">
        <f t="shared" si="7"/>
        <v>#N/A</v>
      </c>
    </row>
    <row r="58" spans="1:13" x14ac:dyDescent="0.25">
      <c r="A58" s="19">
        <f>VBA!B82</f>
        <v>0</v>
      </c>
      <c r="B58" s="19">
        <f>VBA!B83</f>
        <v>0</v>
      </c>
      <c r="C58" s="20" t="e">
        <f t="shared" si="1"/>
        <v>#N/A</v>
      </c>
      <c r="D58" s="20" t="e">
        <f t="shared" si="2"/>
        <v>#N/A</v>
      </c>
      <c r="E58" s="25">
        <v>40</v>
      </c>
      <c r="F58" s="25">
        <f t="shared" si="3"/>
        <v>20</v>
      </c>
      <c r="G58" s="14">
        <f t="shared" si="9"/>
        <v>0.2</v>
      </c>
      <c r="H58" s="11"/>
      <c r="I58" s="12">
        <f t="shared" si="4"/>
        <v>1.2732395447351628E-2</v>
      </c>
      <c r="J58" s="13">
        <f t="shared" si="8"/>
        <v>12.732395447351628</v>
      </c>
      <c r="K58" s="11"/>
      <c r="L58" s="14" t="e">
        <f t="shared" si="6"/>
        <v>#N/A</v>
      </c>
      <c r="M58" s="14" t="e">
        <f t="shared" si="7"/>
        <v>#N/A</v>
      </c>
    </row>
    <row r="59" spans="1:13" x14ac:dyDescent="0.25">
      <c r="A59" s="19">
        <f>VBA!B84</f>
        <v>0</v>
      </c>
      <c r="B59" s="19">
        <f>VBA!B85</f>
        <v>0</v>
      </c>
      <c r="C59" s="20" t="e">
        <f t="shared" si="1"/>
        <v>#N/A</v>
      </c>
      <c r="D59" s="20" t="e">
        <f t="shared" si="2"/>
        <v>#N/A</v>
      </c>
      <c r="E59" s="25">
        <v>41</v>
      </c>
      <c r="F59" s="25">
        <f t="shared" si="3"/>
        <v>19.607843137254903</v>
      </c>
      <c r="G59" s="14">
        <f t="shared" si="9"/>
        <v>0.19607843137254904</v>
      </c>
      <c r="H59" s="11"/>
      <c r="I59" s="12">
        <f t="shared" si="4"/>
        <v>1.2482740634658459E-2</v>
      </c>
      <c r="J59" s="13">
        <f t="shared" si="8"/>
        <v>12.482740634658459</v>
      </c>
      <c r="K59" s="11"/>
      <c r="L59" s="14" t="e">
        <f t="shared" si="6"/>
        <v>#N/A</v>
      </c>
      <c r="M59" s="14" t="e">
        <f t="shared" si="7"/>
        <v>#N/A</v>
      </c>
    </row>
    <row r="60" spans="1:13" x14ac:dyDescent="0.25">
      <c r="A60" s="19">
        <f>VBA!B86</f>
        <v>0</v>
      </c>
      <c r="B60" s="19">
        <f>VBA!B87</f>
        <v>0</v>
      </c>
      <c r="C60" s="20" t="e">
        <f t="shared" si="1"/>
        <v>#N/A</v>
      </c>
      <c r="D60" s="20" t="e">
        <f t="shared" si="2"/>
        <v>#N/A</v>
      </c>
      <c r="E60" s="25">
        <v>42</v>
      </c>
      <c r="F60" s="25">
        <f t="shared" si="3"/>
        <v>19.230769230769234</v>
      </c>
      <c r="G60" s="14">
        <f t="shared" si="9"/>
        <v>0.19230769230769235</v>
      </c>
      <c r="H60" s="11"/>
      <c r="I60" s="12">
        <f t="shared" si="4"/>
        <v>1.2242687930145798E-2</v>
      </c>
      <c r="J60" s="13">
        <f t="shared" si="8"/>
        <v>12.242687930145797</v>
      </c>
      <c r="K60" s="11"/>
      <c r="L60" s="14" t="e">
        <f t="shared" si="6"/>
        <v>#N/A</v>
      </c>
      <c r="M60" s="14" t="e">
        <f t="shared" si="7"/>
        <v>#N/A</v>
      </c>
    </row>
    <row r="61" spans="1:13" x14ac:dyDescent="0.25">
      <c r="A61" s="19">
        <f>VBA!B88</f>
        <v>0</v>
      </c>
      <c r="B61" s="19">
        <f>VBA!B89</f>
        <v>0</v>
      </c>
      <c r="C61" s="20" t="e">
        <f t="shared" si="1"/>
        <v>#N/A</v>
      </c>
      <c r="D61" s="20" t="e">
        <f t="shared" si="2"/>
        <v>#N/A</v>
      </c>
      <c r="E61" s="25">
        <v>43</v>
      </c>
      <c r="F61" s="25">
        <f t="shared" si="3"/>
        <v>18.867924528301884</v>
      </c>
      <c r="G61" s="14">
        <f t="shared" si="9"/>
        <v>0.18867924528301885</v>
      </c>
      <c r="H61" s="11"/>
      <c r="I61" s="12">
        <f t="shared" si="4"/>
        <v>1.2011693818256251E-2</v>
      </c>
      <c r="J61" s="13">
        <f t="shared" si="8"/>
        <v>12.011693818256251</v>
      </c>
      <c r="K61" s="11"/>
      <c r="L61" s="14" t="e">
        <f t="shared" si="6"/>
        <v>#N/A</v>
      </c>
      <c r="M61" s="14" t="e">
        <f t="shared" si="7"/>
        <v>#N/A</v>
      </c>
    </row>
    <row r="62" spans="1:13" x14ac:dyDescent="0.25">
      <c r="A62" s="19">
        <f>VBA!B90</f>
        <v>0</v>
      </c>
      <c r="B62" s="19">
        <f>VBA!B91</f>
        <v>0</v>
      </c>
      <c r="C62" s="20" t="e">
        <f t="shared" si="1"/>
        <v>#N/A</v>
      </c>
      <c r="D62" s="20" t="e">
        <f t="shared" si="2"/>
        <v>#N/A</v>
      </c>
      <c r="E62" s="25">
        <v>44</v>
      </c>
      <c r="F62" s="25">
        <f t="shared" si="3"/>
        <v>18.518518518518519</v>
      </c>
      <c r="G62" s="14">
        <f t="shared" si="9"/>
        <v>0.1851851851851852</v>
      </c>
      <c r="H62" s="11"/>
      <c r="I62" s="12">
        <f t="shared" si="4"/>
        <v>1.17892550438441E-2</v>
      </c>
      <c r="J62" s="13">
        <f t="shared" si="8"/>
        <v>11.789255043844101</v>
      </c>
      <c r="K62" s="11"/>
      <c r="L62" s="14" t="e">
        <f t="shared" si="6"/>
        <v>#N/A</v>
      </c>
      <c r="M62" s="14" t="e">
        <f t="shared" si="7"/>
        <v>#N/A</v>
      </c>
    </row>
    <row r="63" spans="1:13" x14ac:dyDescent="0.25">
      <c r="A63" s="19">
        <f>VBA!B92</f>
        <v>0</v>
      </c>
      <c r="B63" s="19">
        <f>VBA!B93</f>
        <v>0</v>
      </c>
      <c r="C63" s="20" t="e">
        <f t="shared" si="1"/>
        <v>#N/A</v>
      </c>
      <c r="D63" s="20" t="e">
        <f t="shared" si="2"/>
        <v>#N/A</v>
      </c>
      <c r="E63" s="25">
        <v>45</v>
      </c>
      <c r="F63" s="25">
        <f t="shared" si="3"/>
        <v>18.18181818181818</v>
      </c>
      <c r="G63" s="14">
        <f t="shared" si="9"/>
        <v>0.1818181818181818</v>
      </c>
      <c r="H63" s="11"/>
      <c r="I63" s="12">
        <f t="shared" si="4"/>
        <v>1.1574904952137843E-2</v>
      </c>
      <c r="J63" s="13">
        <f t="shared" si="8"/>
        <v>11.574904952137842</v>
      </c>
      <c r="K63" s="11"/>
      <c r="L63" s="14" t="e">
        <f t="shared" si="6"/>
        <v>#N/A</v>
      </c>
      <c r="M63" s="14" t="e">
        <f t="shared" si="7"/>
        <v>#N/A</v>
      </c>
    </row>
    <row r="64" spans="1:13" x14ac:dyDescent="0.25">
      <c r="A64" s="19">
        <f>VBA!B94</f>
        <v>0</v>
      </c>
      <c r="B64" s="19">
        <f>VBA!B95</f>
        <v>0</v>
      </c>
      <c r="C64" s="20" t="e">
        <f t="shared" si="1"/>
        <v>#N/A</v>
      </c>
      <c r="D64" s="20" t="e">
        <f t="shared" si="2"/>
        <v>#N/A</v>
      </c>
      <c r="E64" s="25">
        <v>46</v>
      </c>
      <c r="F64" s="25">
        <f t="shared" si="3"/>
        <v>17.857142857142858</v>
      </c>
      <c r="G64" s="14">
        <f t="shared" si="9"/>
        <v>0.17857142857142858</v>
      </c>
      <c r="H64" s="11"/>
      <c r="I64" s="12">
        <f t="shared" si="4"/>
        <v>1.1368210220849667E-2</v>
      </c>
      <c r="J64" s="13">
        <f t="shared" si="8"/>
        <v>11.368210220849667</v>
      </c>
      <c r="K64" s="11"/>
      <c r="L64" s="14" t="e">
        <f t="shared" si="6"/>
        <v>#N/A</v>
      </c>
      <c r="M64" s="14" t="e">
        <f t="shared" si="7"/>
        <v>#N/A</v>
      </c>
    </row>
    <row r="65" spans="1:13" x14ac:dyDescent="0.25">
      <c r="A65" s="19">
        <f>VBA!B96</f>
        <v>0</v>
      </c>
      <c r="B65" s="19">
        <f>VBA!B97</f>
        <v>0</v>
      </c>
      <c r="C65" s="20" t="e">
        <f t="shared" si="1"/>
        <v>#N/A</v>
      </c>
      <c r="D65" s="20" t="e">
        <f t="shared" si="2"/>
        <v>#N/A</v>
      </c>
      <c r="E65" s="25">
        <v>47</v>
      </c>
      <c r="F65" s="25">
        <f t="shared" si="3"/>
        <v>17.543859649122805</v>
      </c>
      <c r="G65" s="14">
        <f t="shared" si="9"/>
        <v>0.17543859649122806</v>
      </c>
      <c r="H65" s="11"/>
      <c r="I65" s="12">
        <f t="shared" si="4"/>
        <v>1.1168767936273357E-2</v>
      </c>
      <c r="J65" s="13">
        <f t="shared" si="8"/>
        <v>11.168767936273357</v>
      </c>
      <c r="K65" s="11"/>
      <c r="L65" s="14" t="e">
        <f t="shared" si="6"/>
        <v>#N/A</v>
      </c>
      <c r="M65" s="14" t="e">
        <f t="shared" si="7"/>
        <v>#N/A</v>
      </c>
    </row>
    <row r="66" spans="1:13" x14ac:dyDescent="0.25">
      <c r="A66" s="19">
        <f>VBA!B98</f>
        <v>0</v>
      </c>
      <c r="B66" s="19">
        <f>VBA!B99</f>
        <v>0</v>
      </c>
      <c r="C66" s="20" t="e">
        <f t="shared" si="1"/>
        <v>#N/A</v>
      </c>
      <c r="D66" s="20" t="e">
        <f t="shared" si="2"/>
        <v>#N/A</v>
      </c>
      <c r="E66" s="25">
        <v>48</v>
      </c>
      <c r="F66" s="25">
        <f t="shared" si="3"/>
        <v>17.241379310344826</v>
      </c>
      <c r="G66" s="14">
        <f t="shared" si="9"/>
        <v>0.17241379310344826</v>
      </c>
      <c r="H66" s="11"/>
      <c r="I66" s="12">
        <f t="shared" si="4"/>
        <v>1.0976202971854849E-2</v>
      </c>
      <c r="J66" s="13">
        <f t="shared" si="8"/>
        <v>10.97620297185485</v>
      </c>
      <c r="K66" s="11"/>
      <c r="L66" s="14" t="e">
        <f t="shared" si="6"/>
        <v>#N/A</v>
      </c>
      <c r="M66" s="14" t="e">
        <f t="shared" si="7"/>
        <v>#N/A</v>
      </c>
    </row>
    <row r="67" spans="1:13" x14ac:dyDescent="0.25">
      <c r="A67" s="19">
        <f>VBA!B100</f>
        <v>0</v>
      </c>
      <c r="B67" s="19">
        <f>VBA!B101</f>
        <v>0</v>
      </c>
      <c r="C67" s="20" t="e">
        <f t="shared" si="1"/>
        <v>#N/A</v>
      </c>
      <c r="D67" s="20" t="e">
        <f t="shared" si="2"/>
        <v>#N/A</v>
      </c>
      <c r="E67" s="25">
        <v>49</v>
      </c>
      <c r="F67" s="25">
        <f t="shared" si="3"/>
        <v>16.949152542372882</v>
      </c>
      <c r="G67" s="14">
        <f t="shared" si="9"/>
        <v>0.16949152542372883</v>
      </c>
      <c r="H67" s="11"/>
      <c r="I67" s="12">
        <f t="shared" si="4"/>
        <v>1.0790165633348838E-2</v>
      </c>
      <c r="J67" s="13">
        <f t="shared" si="8"/>
        <v>10.790165633348838</v>
      </c>
      <c r="K67" s="11"/>
      <c r="L67" s="14" t="e">
        <f t="shared" si="6"/>
        <v>#N/A</v>
      </c>
      <c r="M67" s="14" t="e">
        <f t="shared" si="7"/>
        <v>#N/A</v>
      </c>
    </row>
    <row r="68" spans="1:13" x14ac:dyDescent="0.25">
      <c r="A68" s="19">
        <f>VBA!B102</f>
        <v>0</v>
      </c>
      <c r="B68" s="19">
        <f>VBA!B103</f>
        <v>0</v>
      </c>
      <c r="C68" s="20" t="e">
        <f t="shared" si="1"/>
        <v>#N/A</v>
      </c>
      <c r="D68" s="20" t="e">
        <f t="shared" si="2"/>
        <v>#N/A</v>
      </c>
      <c r="E68" s="25">
        <v>50</v>
      </c>
      <c r="F68" s="25">
        <f t="shared" si="3"/>
        <v>16.666666666666668</v>
      </c>
      <c r="G68" s="14">
        <f t="shared" si="9"/>
        <v>0.16666666666666669</v>
      </c>
      <c r="H68" s="11"/>
      <c r="I68" s="12">
        <f t="shared" si="4"/>
        <v>1.0610329539459689E-2</v>
      </c>
      <c r="J68" s="13">
        <f t="shared" si="8"/>
        <v>10.610329539459689</v>
      </c>
      <c r="K68" s="11"/>
      <c r="L68" s="14" t="e">
        <f t="shared" si="6"/>
        <v>#N/A</v>
      </c>
      <c r="M68" s="14" t="e">
        <f t="shared" si="7"/>
        <v>#N/A</v>
      </c>
    </row>
    <row r="69" spans="1:13" x14ac:dyDescent="0.25">
      <c r="A69" s="19">
        <f>VBA!B104</f>
        <v>0</v>
      </c>
      <c r="B69" s="19">
        <f>VBA!B105</f>
        <v>0</v>
      </c>
      <c r="C69" s="20" t="e">
        <f t="shared" si="1"/>
        <v>#N/A</v>
      </c>
      <c r="D69" s="20" t="e">
        <f t="shared" si="2"/>
        <v>#N/A</v>
      </c>
      <c r="E69" s="25">
        <v>51</v>
      </c>
      <c r="F69" s="25">
        <f t="shared" si="3"/>
        <v>16.393442622950822</v>
      </c>
      <c r="G69" s="14">
        <f t="shared" si="9"/>
        <v>0.16393442622950821</v>
      </c>
      <c r="H69" s="11"/>
      <c r="I69" s="12">
        <f t="shared" si="4"/>
        <v>1.0436389710943957E-2</v>
      </c>
      <c r="J69" s="13">
        <f t="shared" si="8"/>
        <v>10.436389710943958</v>
      </c>
      <c r="K69" s="11"/>
      <c r="L69" s="14" t="e">
        <f t="shared" si="6"/>
        <v>#N/A</v>
      </c>
      <c r="M69" s="14" t="e">
        <f t="shared" si="7"/>
        <v>#N/A</v>
      </c>
    </row>
    <row r="70" spans="1:13" x14ac:dyDescent="0.25">
      <c r="A70" s="19">
        <f>VBA!B106</f>
        <v>0</v>
      </c>
      <c r="B70" s="19">
        <f>VBA!B107</f>
        <v>0</v>
      </c>
      <c r="C70" s="20" t="e">
        <f t="shared" si="1"/>
        <v>#N/A</v>
      </c>
      <c r="D70" s="20" t="e">
        <f t="shared" si="2"/>
        <v>#N/A</v>
      </c>
      <c r="E70" s="25">
        <v>52</v>
      </c>
      <c r="F70" s="25">
        <f t="shared" si="3"/>
        <v>16.129032258064516</v>
      </c>
      <c r="G70" s="14">
        <f t="shared" si="9"/>
        <v>0.16129032258064516</v>
      </c>
      <c r="H70" s="11"/>
      <c r="I70" s="12">
        <f t="shared" si="4"/>
        <v>1.0268060844638409E-2</v>
      </c>
      <c r="J70" s="13">
        <f t="shared" si="8"/>
        <v>10.268060844638409</v>
      </c>
      <c r="K70" s="11"/>
      <c r="L70" s="14" t="e">
        <f t="shared" si="6"/>
        <v>#N/A</v>
      </c>
      <c r="M70" s="14" t="e">
        <f t="shared" si="7"/>
        <v>#N/A</v>
      </c>
    </row>
    <row r="71" spans="1:13" x14ac:dyDescent="0.25">
      <c r="A71" s="19">
        <f>VBA!B108</f>
        <v>0</v>
      </c>
      <c r="B71" s="19">
        <f>VBA!B109</f>
        <v>0</v>
      </c>
      <c r="C71" s="20" t="e">
        <f t="shared" si="1"/>
        <v>#N/A</v>
      </c>
      <c r="D71" s="20" t="e">
        <f t="shared" si="2"/>
        <v>#N/A</v>
      </c>
      <c r="E71" s="25">
        <v>53</v>
      </c>
      <c r="F71" s="25">
        <f t="shared" si="3"/>
        <v>15.873015873015872</v>
      </c>
      <c r="G71" s="14">
        <f t="shared" si="9"/>
        <v>0.15873015873015872</v>
      </c>
      <c r="H71" s="11"/>
      <c r="I71" s="12">
        <f t="shared" si="4"/>
        <v>1.0105075751866369E-2</v>
      </c>
      <c r="J71" s="13">
        <f t="shared" si="8"/>
        <v>10.105075751866369</v>
      </c>
      <c r="K71" s="11"/>
      <c r="L71" s="14" t="e">
        <f t="shared" si="6"/>
        <v>#N/A</v>
      </c>
      <c r="M71" s="14" t="e">
        <f t="shared" si="7"/>
        <v>#N/A</v>
      </c>
    </row>
    <row r="72" spans="1:13" x14ac:dyDescent="0.25">
      <c r="A72" s="19">
        <f>VBA!B110</f>
        <v>0</v>
      </c>
      <c r="B72" s="19">
        <f>VBA!B111</f>
        <v>0</v>
      </c>
      <c r="C72" s="20" t="e">
        <f t="shared" si="1"/>
        <v>#N/A</v>
      </c>
      <c r="D72" s="20" t="e">
        <f t="shared" si="2"/>
        <v>#N/A</v>
      </c>
      <c r="E72" s="25">
        <v>54</v>
      </c>
      <c r="F72" s="25">
        <f t="shared" si="3"/>
        <v>15.625</v>
      </c>
      <c r="G72" s="14">
        <f t="shared" si="9"/>
        <v>0.15625</v>
      </c>
      <c r="H72" s="11"/>
      <c r="I72" s="12">
        <f t="shared" si="4"/>
        <v>9.9471839432434591E-3</v>
      </c>
      <c r="J72" s="13">
        <f t="shared" si="8"/>
        <v>9.9471839432434592</v>
      </c>
      <c r="K72" s="11"/>
      <c r="L72" s="14" t="e">
        <f t="shared" si="6"/>
        <v>#N/A</v>
      </c>
      <c r="M72" s="14" t="e">
        <f t="shared" si="7"/>
        <v>#N/A</v>
      </c>
    </row>
    <row r="73" spans="1:13" x14ac:dyDescent="0.25">
      <c r="A73" s="19">
        <f>VBA!B112</f>
        <v>0</v>
      </c>
      <c r="B73" s="19">
        <f>VBA!B113</f>
        <v>0</v>
      </c>
      <c r="C73" s="20" t="e">
        <f t="shared" si="1"/>
        <v>#N/A</v>
      </c>
      <c r="D73" s="20" t="e">
        <f t="shared" si="2"/>
        <v>#N/A</v>
      </c>
      <c r="E73" s="25">
        <v>55</v>
      </c>
      <c r="F73" s="25">
        <f t="shared" si="3"/>
        <v>15.384615384615385</v>
      </c>
      <c r="G73" s="14">
        <f t="shared" si="9"/>
        <v>0.15384615384615385</v>
      </c>
      <c r="H73" s="11"/>
      <c r="I73" s="12">
        <f t="shared" si="4"/>
        <v>9.7941503441166377E-3</v>
      </c>
      <c r="J73" s="13">
        <f t="shared" si="8"/>
        <v>9.7941503441166375</v>
      </c>
      <c r="K73" s="11"/>
      <c r="L73" s="14" t="e">
        <f t="shared" si="6"/>
        <v>#N/A</v>
      </c>
      <c r="M73" s="14" t="e">
        <f t="shared" si="7"/>
        <v>#N/A</v>
      </c>
    </row>
    <row r="74" spans="1:13" x14ac:dyDescent="0.25">
      <c r="A74" s="19">
        <f>VBA!B114</f>
        <v>0</v>
      </c>
      <c r="B74" s="19">
        <f>VBA!B115</f>
        <v>0</v>
      </c>
      <c r="C74" s="20" t="e">
        <f t="shared" si="1"/>
        <v>#N/A</v>
      </c>
      <c r="D74" s="20" t="e">
        <f t="shared" si="2"/>
        <v>#N/A</v>
      </c>
      <c r="E74" s="25">
        <v>56</v>
      </c>
      <c r="F74" s="25">
        <f t="shared" si="3"/>
        <v>15.151515151515152</v>
      </c>
      <c r="G74" s="14">
        <f t="shared" si="9"/>
        <v>0.15151515151515152</v>
      </c>
      <c r="H74" s="11"/>
      <c r="I74" s="12">
        <f t="shared" si="4"/>
        <v>9.6457541267815361E-3</v>
      </c>
      <c r="J74" s="13">
        <f t="shared" si="8"/>
        <v>9.6457541267815365</v>
      </c>
      <c r="K74" s="11"/>
      <c r="L74" s="14" t="e">
        <f t="shared" si="6"/>
        <v>#N/A</v>
      </c>
      <c r="M74" s="14" t="e">
        <f t="shared" si="7"/>
        <v>#N/A</v>
      </c>
    </row>
    <row r="75" spans="1:13" x14ac:dyDescent="0.25">
      <c r="A75" s="19">
        <f>VBA!B116</f>
        <v>0</v>
      </c>
      <c r="B75" s="19">
        <f>VBA!B117</f>
        <v>0</v>
      </c>
      <c r="C75" s="20" t="e">
        <f t="shared" si="1"/>
        <v>#N/A</v>
      </c>
      <c r="D75" s="20" t="e">
        <f t="shared" si="2"/>
        <v>#N/A</v>
      </c>
      <c r="E75" s="25">
        <v>57</v>
      </c>
      <c r="F75" s="25">
        <f t="shared" si="3"/>
        <v>14.925373134328359</v>
      </c>
      <c r="G75" s="14">
        <f t="shared" si="9"/>
        <v>0.1492537313432836</v>
      </c>
      <c r="H75" s="11"/>
      <c r="I75" s="12">
        <f t="shared" si="4"/>
        <v>9.5017876472773353E-3</v>
      </c>
      <c r="J75" s="13">
        <f t="shared" si="8"/>
        <v>9.5017876472773359</v>
      </c>
      <c r="K75" s="11"/>
      <c r="L75" s="14" t="e">
        <f t="shared" si="6"/>
        <v>#N/A</v>
      </c>
      <c r="M75" s="14" t="e">
        <f t="shared" si="7"/>
        <v>#N/A</v>
      </c>
    </row>
    <row r="76" spans="1:13" x14ac:dyDescent="0.25">
      <c r="A76" s="19">
        <f>VBA!B118</f>
        <v>0</v>
      </c>
      <c r="B76" s="19">
        <f>VBA!B119</f>
        <v>0</v>
      </c>
      <c r="C76" s="20" t="e">
        <f t="shared" si="1"/>
        <v>#N/A</v>
      </c>
      <c r="D76" s="20" t="e">
        <f t="shared" si="2"/>
        <v>#N/A</v>
      </c>
      <c r="E76" s="25">
        <v>58</v>
      </c>
      <c r="F76" s="25">
        <f t="shared" si="3"/>
        <v>14.705882352941176</v>
      </c>
      <c r="G76" s="14">
        <f t="shared" si="9"/>
        <v>0.14705882352941177</v>
      </c>
      <c r="H76" s="11"/>
      <c r="I76" s="12">
        <f t="shared" si="4"/>
        <v>9.3620554759938444E-3</v>
      </c>
      <c r="J76" s="13">
        <f t="shared" si="8"/>
        <v>9.362055475993845</v>
      </c>
      <c r="K76" s="11"/>
      <c r="L76" s="14" t="e">
        <f t="shared" si="6"/>
        <v>#N/A</v>
      </c>
      <c r="M76" s="14" t="e">
        <f t="shared" si="7"/>
        <v>#N/A</v>
      </c>
    </row>
    <row r="77" spans="1:13" x14ac:dyDescent="0.25">
      <c r="A77" s="19">
        <f>VBA!B120</f>
        <v>0</v>
      </c>
      <c r="B77" s="19">
        <f>VBA!B121</f>
        <v>0</v>
      </c>
      <c r="C77" s="20" t="e">
        <f t="shared" si="1"/>
        <v>#N/A</v>
      </c>
      <c r="D77" s="20" t="e">
        <f t="shared" si="2"/>
        <v>#N/A</v>
      </c>
      <c r="E77" s="25">
        <v>59</v>
      </c>
      <c r="F77" s="25">
        <f t="shared" si="3"/>
        <v>14.492753623188406</v>
      </c>
      <c r="G77" s="14">
        <f t="shared" si="9"/>
        <v>0.14492753623188406</v>
      </c>
      <c r="H77" s="11"/>
      <c r="I77" s="12">
        <f t="shared" si="4"/>
        <v>9.2263735125736428E-3</v>
      </c>
      <c r="J77" s="13">
        <f t="shared" si="8"/>
        <v>9.2263735125736428</v>
      </c>
      <c r="K77" s="11"/>
      <c r="L77" s="14" t="e">
        <f t="shared" si="6"/>
        <v>#N/A</v>
      </c>
      <c r="M77" s="14" t="e">
        <f t="shared" si="7"/>
        <v>#N/A</v>
      </c>
    </row>
    <row r="78" spans="1:13" x14ac:dyDescent="0.25">
      <c r="A78" s="19">
        <f>VBA!B122</f>
        <v>0</v>
      </c>
      <c r="B78" s="19">
        <f>VBA!B123</f>
        <v>0</v>
      </c>
      <c r="C78" s="20" t="e">
        <f t="shared" si="1"/>
        <v>#N/A</v>
      </c>
      <c r="D78" s="20" t="e">
        <f t="shared" si="2"/>
        <v>#N/A</v>
      </c>
      <c r="E78" s="25">
        <v>60</v>
      </c>
      <c r="F78" s="25">
        <f t="shared" si="3"/>
        <v>14.285714285714285</v>
      </c>
      <c r="G78" s="14">
        <f t="shared" si="9"/>
        <v>0.14285714285714285</v>
      </c>
      <c r="H78" s="11"/>
      <c r="I78" s="12">
        <f t="shared" si="4"/>
        <v>9.0945681766797324E-3</v>
      </c>
      <c r="J78" s="13">
        <f t="shared" si="8"/>
        <v>9.0945681766797328</v>
      </c>
      <c r="K78" s="11"/>
      <c r="L78" s="14" t="e">
        <f t="shared" si="6"/>
        <v>#N/A</v>
      </c>
      <c r="M78" s="14" t="e">
        <f t="shared" si="7"/>
        <v>#N/A</v>
      </c>
    </row>
    <row r="79" spans="1:13" x14ac:dyDescent="0.25">
      <c r="A79" s="19">
        <f>VBA!B124</f>
        <v>0</v>
      </c>
      <c r="B79" s="19">
        <f>VBA!B125</f>
        <v>0</v>
      </c>
      <c r="C79" s="20" t="e">
        <f t="shared" si="1"/>
        <v>#N/A</v>
      </c>
      <c r="D79" s="20" t="e">
        <f t="shared" si="2"/>
        <v>#N/A</v>
      </c>
      <c r="E79" s="25">
        <v>61</v>
      </c>
      <c r="F79" s="25">
        <f t="shared" si="3"/>
        <v>14.084507042253522</v>
      </c>
      <c r="G79" s="14">
        <f t="shared" si="9"/>
        <v>0.14084507042253522</v>
      </c>
      <c r="H79" s="11"/>
      <c r="I79" s="12">
        <f t="shared" si="4"/>
        <v>8.9664756671490337E-3</v>
      </c>
      <c r="J79" s="13">
        <f t="shared" si="8"/>
        <v>8.9664756671490338</v>
      </c>
      <c r="K79" s="11"/>
      <c r="L79" s="14" t="e">
        <f t="shared" si="6"/>
        <v>#N/A</v>
      </c>
      <c r="M79" s="14" t="e">
        <f t="shared" si="7"/>
        <v>#N/A</v>
      </c>
    </row>
    <row r="80" spans="1:13" x14ac:dyDescent="0.25">
      <c r="A80" s="19">
        <f>VBA!B126</f>
        <v>0</v>
      </c>
      <c r="B80" s="19">
        <f>VBA!B127</f>
        <v>0</v>
      </c>
      <c r="C80" s="20" t="e">
        <f t="shared" si="1"/>
        <v>#N/A</v>
      </c>
      <c r="D80" s="20" t="e">
        <f t="shared" si="2"/>
        <v>#N/A</v>
      </c>
      <c r="E80" s="25">
        <v>62</v>
      </c>
      <c r="F80" s="25">
        <f t="shared" si="3"/>
        <v>13.888888888888888</v>
      </c>
      <c r="G80" s="14">
        <f t="shared" si="9"/>
        <v>0.13888888888888887</v>
      </c>
      <c r="H80" s="11"/>
      <c r="I80" s="12">
        <f t="shared" si="4"/>
        <v>8.8419412828830736E-3</v>
      </c>
      <c r="J80" s="13">
        <f t="shared" si="8"/>
        <v>8.8419412828830737</v>
      </c>
      <c r="K80" s="11"/>
      <c r="L80" s="14" t="e">
        <f t="shared" si="6"/>
        <v>#N/A</v>
      </c>
      <c r="M80" s="14" t="e">
        <f t="shared" si="7"/>
        <v>#N/A</v>
      </c>
    </row>
    <row r="81" spans="1:13" x14ac:dyDescent="0.25">
      <c r="A81" s="19">
        <f>VBA!B128</f>
        <v>0</v>
      </c>
      <c r="B81" s="19">
        <f>VBA!B129</f>
        <v>0</v>
      </c>
      <c r="C81" s="20" t="e">
        <f t="shared" si="1"/>
        <v>#N/A</v>
      </c>
      <c r="D81" s="20" t="e">
        <f t="shared" si="2"/>
        <v>#N/A</v>
      </c>
      <c r="E81" s="25">
        <v>63</v>
      </c>
      <c r="F81" s="25">
        <f t="shared" si="3"/>
        <v>13.698630136986301</v>
      </c>
      <c r="G81" s="14">
        <f t="shared" si="9"/>
        <v>0.13698630136986301</v>
      </c>
      <c r="H81" s="11"/>
      <c r="I81" s="12">
        <f t="shared" si="4"/>
        <v>8.7208187995559093E-3</v>
      </c>
      <c r="J81" s="13">
        <f t="shared" si="8"/>
        <v>8.720818799555909</v>
      </c>
      <c r="K81" s="11"/>
      <c r="L81" s="14" t="e">
        <f t="shared" si="6"/>
        <v>#N/A</v>
      </c>
      <c r="M81" s="14" t="e">
        <f t="shared" si="7"/>
        <v>#N/A</v>
      </c>
    </row>
    <row r="82" spans="1:13" x14ac:dyDescent="0.25">
      <c r="A82" s="19">
        <f>VBA!B130</f>
        <v>0</v>
      </c>
      <c r="B82" s="19">
        <f>VBA!B131</f>
        <v>0</v>
      </c>
      <c r="C82" s="20" t="e">
        <f t="shared" si="1"/>
        <v>#N/A</v>
      </c>
      <c r="D82" s="20" t="e">
        <f t="shared" si="2"/>
        <v>#N/A</v>
      </c>
      <c r="E82" s="25">
        <v>64</v>
      </c>
      <c r="F82" s="25">
        <f t="shared" si="3"/>
        <v>13.513513513513514</v>
      </c>
      <c r="G82" s="14">
        <f t="shared" ref="G82:G113" si="10">($G$11*F82)/100</f>
        <v>0.13513513513513514</v>
      </c>
      <c r="H82" s="11"/>
      <c r="I82" s="12">
        <f t="shared" si="4"/>
        <v>8.6029698968592069E-3</v>
      </c>
      <c r="J82" s="13">
        <f t="shared" si="8"/>
        <v>8.6029698968592072</v>
      </c>
      <c r="K82" s="11"/>
      <c r="L82" s="14" t="e">
        <f t="shared" si="6"/>
        <v>#N/A</v>
      </c>
      <c r="M82" s="14" t="e">
        <f t="shared" si="7"/>
        <v>#N/A</v>
      </c>
    </row>
    <row r="83" spans="1:13" x14ac:dyDescent="0.25">
      <c r="A83" s="19">
        <f>VBA!B132</f>
        <v>0</v>
      </c>
      <c r="B83" s="19">
        <f>VBA!B133</f>
        <v>0</v>
      </c>
      <c r="C83" s="20" t="e">
        <f t="shared" ref="C83:C116" si="11">IF(AND(A83&gt;0,B83&gt;0),(A83-B83)/(A83+B83),NA())</f>
        <v>#N/A</v>
      </c>
      <c r="D83" s="20" t="e">
        <f t="shared" ref="D83:D115" si="12">IF(AND(A83&gt;0,B83&gt;0),C83/$C$17,NA())</f>
        <v>#N/A</v>
      </c>
      <c r="E83" s="25">
        <v>65</v>
      </c>
      <c r="F83" s="25">
        <f t="shared" ref="F83:F116" si="13">1000*(E83+10)^(-1)</f>
        <v>13.333333333333334</v>
      </c>
      <c r="G83" s="14">
        <f t="shared" si="10"/>
        <v>0.13333333333333333</v>
      </c>
      <c r="H83" s="11"/>
      <c r="I83" s="12">
        <f t="shared" ref="I83:I116" si="14">(G83*200/PI())/$I$3/1000</f>
        <v>8.4882636315677523E-3</v>
      </c>
      <c r="J83" s="13">
        <f t="shared" si="8"/>
        <v>8.4882636315677527</v>
      </c>
      <c r="K83" s="11"/>
      <c r="L83" s="14" t="e">
        <f t="shared" ref="L83:L116" si="15">IF(A83&gt;0,1/G83,NA())</f>
        <v>#N/A</v>
      </c>
      <c r="M83" s="14" t="e">
        <f t="shared" ref="M83:M116" si="16">IF(A83&gt;0,1/J83,NA())</f>
        <v>#N/A</v>
      </c>
    </row>
    <row r="84" spans="1:13" x14ac:dyDescent="0.25">
      <c r="A84" s="19">
        <f>VBA!B134</f>
        <v>0</v>
      </c>
      <c r="B84" s="19">
        <f>VBA!B135</f>
        <v>0</v>
      </c>
      <c r="C84" s="20" t="e">
        <f t="shared" si="11"/>
        <v>#N/A</v>
      </c>
      <c r="D84" s="20" t="e">
        <f t="shared" si="12"/>
        <v>#N/A</v>
      </c>
      <c r="E84" s="25">
        <v>66</v>
      </c>
      <c r="F84" s="25">
        <f t="shared" si="13"/>
        <v>13.157894736842104</v>
      </c>
      <c r="G84" s="14">
        <f t="shared" si="10"/>
        <v>0.13157894736842105</v>
      </c>
      <c r="H84" s="11"/>
      <c r="I84" s="12">
        <f t="shared" si="14"/>
        <v>8.3765759522050186E-3</v>
      </c>
      <c r="J84" s="13">
        <f t="shared" si="8"/>
        <v>8.3765759522050178</v>
      </c>
      <c r="K84" s="11"/>
      <c r="L84" s="14" t="e">
        <f t="shared" si="15"/>
        <v>#N/A</v>
      </c>
      <c r="M84" s="14" t="e">
        <f t="shared" si="16"/>
        <v>#N/A</v>
      </c>
    </row>
    <row r="85" spans="1:13" x14ac:dyDescent="0.25">
      <c r="A85" s="19">
        <f>VBA!B136</f>
        <v>0</v>
      </c>
      <c r="B85" s="19">
        <f>VBA!B137</f>
        <v>0</v>
      </c>
      <c r="C85" s="20" t="e">
        <f t="shared" si="11"/>
        <v>#N/A</v>
      </c>
      <c r="D85" s="20" t="e">
        <f t="shared" si="12"/>
        <v>#N/A</v>
      </c>
      <c r="E85" s="25">
        <v>67</v>
      </c>
      <c r="F85" s="25">
        <f t="shared" si="13"/>
        <v>12.987012987012989</v>
      </c>
      <c r="G85" s="14">
        <f t="shared" si="10"/>
        <v>0.12987012987012989</v>
      </c>
      <c r="H85" s="11"/>
      <c r="I85" s="12">
        <f t="shared" si="14"/>
        <v>8.2677892515270329E-3</v>
      </c>
      <c r="J85" s="13">
        <f t="shared" si="8"/>
        <v>8.2677892515270326</v>
      </c>
      <c r="K85" s="11"/>
      <c r="L85" s="14" t="e">
        <f t="shared" si="15"/>
        <v>#N/A</v>
      </c>
      <c r="M85" s="14" t="e">
        <f t="shared" si="16"/>
        <v>#N/A</v>
      </c>
    </row>
    <row r="86" spans="1:13" x14ac:dyDescent="0.25">
      <c r="A86" s="19">
        <f>VBA!B138</f>
        <v>0</v>
      </c>
      <c r="B86" s="19">
        <f>VBA!B139</f>
        <v>0</v>
      </c>
      <c r="C86" s="20" t="e">
        <f t="shared" si="11"/>
        <v>#N/A</v>
      </c>
      <c r="D86" s="20" t="e">
        <f t="shared" si="12"/>
        <v>#N/A</v>
      </c>
      <c r="E86" s="25">
        <v>68</v>
      </c>
      <c r="F86" s="25">
        <f t="shared" si="13"/>
        <v>12.820512820512819</v>
      </c>
      <c r="G86" s="14">
        <f t="shared" si="10"/>
        <v>0.12820512820512819</v>
      </c>
      <c r="H86" s="11"/>
      <c r="I86" s="12">
        <f t="shared" si="14"/>
        <v>8.1617919534305305E-3</v>
      </c>
      <c r="J86" s="13">
        <f t="shared" si="8"/>
        <v>8.1617919534305301</v>
      </c>
      <c r="K86" s="11"/>
      <c r="L86" s="14" t="e">
        <f t="shared" si="15"/>
        <v>#N/A</v>
      </c>
      <c r="M86" s="14" t="e">
        <f t="shared" si="16"/>
        <v>#N/A</v>
      </c>
    </row>
    <row r="87" spans="1:13" x14ac:dyDescent="0.25">
      <c r="A87" s="19">
        <f>VBA!B140</f>
        <v>0</v>
      </c>
      <c r="B87" s="19">
        <f>VBA!B141</f>
        <v>0</v>
      </c>
      <c r="C87" s="20" t="e">
        <f t="shared" si="11"/>
        <v>#N/A</v>
      </c>
      <c r="D87" s="20" t="e">
        <f t="shared" si="12"/>
        <v>#N/A</v>
      </c>
      <c r="E87" s="25">
        <v>69</v>
      </c>
      <c r="F87" s="25">
        <f t="shared" si="13"/>
        <v>12.658227848101266</v>
      </c>
      <c r="G87" s="14">
        <f t="shared" si="10"/>
        <v>0.12658227848101267</v>
      </c>
      <c r="H87" s="11"/>
      <c r="I87" s="12">
        <f t="shared" si="14"/>
        <v>8.0584781312352076E-3</v>
      </c>
      <c r="J87" s="13">
        <f t="shared" si="8"/>
        <v>8.0584781312352067</v>
      </c>
      <c r="K87" s="11"/>
      <c r="L87" s="14" t="e">
        <f t="shared" si="15"/>
        <v>#N/A</v>
      </c>
      <c r="M87" s="14" t="e">
        <f t="shared" si="16"/>
        <v>#N/A</v>
      </c>
    </row>
    <row r="88" spans="1:13" x14ac:dyDescent="0.25">
      <c r="A88" s="19">
        <f>VBA!B142</f>
        <v>0</v>
      </c>
      <c r="B88" s="19">
        <f>VBA!B143</f>
        <v>0</v>
      </c>
      <c r="C88" s="20" t="e">
        <f t="shared" si="11"/>
        <v>#N/A</v>
      </c>
      <c r="D88" s="20" t="e">
        <f t="shared" si="12"/>
        <v>#N/A</v>
      </c>
      <c r="E88" s="25">
        <v>70</v>
      </c>
      <c r="F88" s="25">
        <f t="shared" si="13"/>
        <v>12.5</v>
      </c>
      <c r="G88" s="14">
        <f t="shared" si="10"/>
        <v>0.125</v>
      </c>
      <c r="H88" s="11"/>
      <c r="I88" s="12">
        <f t="shared" si="14"/>
        <v>7.9577471545947669E-3</v>
      </c>
      <c r="J88" s="13">
        <f t="shared" ref="J88:J116" si="17">I88*1000</f>
        <v>7.9577471545947667</v>
      </c>
      <c r="K88" s="11"/>
      <c r="L88" s="14" t="e">
        <f t="shared" si="15"/>
        <v>#N/A</v>
      </c>
      <c r="M88" s="14" t="e">
        <f t="shared" si="16"/>
        <v>#N/A</v>
      </c>
    </row>
    <row r="89" spans="1:13" x14ac:dyDescent="0.25">
      <c r="A89" s="19">
        <f>VBA!B144</f>
        <v>0</v>
      </c>
      <c r="B89" s="19">
        <f>VBA!B145</f>
        <v>0</v>
      </c>
      <c r="C89" s="20" t="e">
        <f t="shared" si="11"/>
        <v>#N/A</v>
      </c>
      <c r="D89" s="20" t="e">
        <f t="shared" si="12"/>
        <v>#N/A</v>
      </c>
      <c r="E89" s="25">
        <v>71</v>
      </c>
      <c r="F89" s="25">
        <f t="shared" si="13"/>
        <v>12.345679012345679</v>
      </c>
      <c r="G89" s="14">
        <f t="shared" si="10"/>
        <v>0.12345679012345678</v>
      </c>
      <c r="H89" s="11"/>
      <c r="I89" s="12">
        <f t="shared" si="14"/>
        <v>7.8595033625627336E-3</v>
      </c>
      <c r="J89" s="13">
        <f t="shared" si="17"/>
        <v>7.8595033625627337</v>
      </c>
      <c r="K89" s="11"/>
      <c r="L89" s="14" t="e">
        <f t="shared" si="15"/>
        <v>#N/A</v>
      </c>
      <c r="M89" s="14" t="e">
        <f t="shared" si="16"/>
        <v>#N/A</v>
      </c>
    </row>
    <row r="90" spans="1:13" x14ac:dyDescent="0.25">
      <c r="A90" s="19">
        <f>VBA!B146</f>
        <v>0</v>
      </c>
      <c r="B90" s="19">
        <f>VBA!B147</f>
        <v>0</v>
      </c>
      <c r="C90" s="20" t="e">
        <f t="shared" si="11"/>
        <v>#N/A</v>
      </c>
      <c r="D90" s="20" t="e">
        <f t="shared" si="12"/>
        <v>#N/A</v>
      </c>
      <c r="E90" s="25">
        <v>72</v>
      </c>
      <c r="F90" s="25">
        <f t="shared" si="13"/>
        <v>12.195121951219512</v>
      </c>
      <c r="G90" s="14">
        <f t="shared" si="10"/>
        <v>0.12195121951219512</v>
      </c>
      <c r="H90" s="11"/>
      <c r="I90" s="12">
        <f t="shared" si="14"/>
        <v>7.7636557605802606E-3</v>
      </c>
      <c r="J90" s="13">
        <f t="shared" si="17"/>
        <v>7.763655760580261</v>
      </c>
      <c r="K90" s="11"/>
      <c r="L90" s="14" t="e">
        <f t="shared" si="15"/>
        <v>#N/A</v>
      </c>
      <c r="M90" s="14" t="e">
        <f t="shared" si="16"/>
        <v>#N/A</v>
      </c>
    </row>
    <row r="91" spans="1:13" x14ac:dyDescent="0.25">
      <c r="A91" s="19">
        <f>VBA!B148</f>
        <v>0</v>
      </c>
      <c r="B91" s="19">
        <f>VBA!B149</f>
        <v>0</v>
      </c>
      <c r="C91" s="20" t="e">
        <f t="shared" si="11"/>
        <v>#N/A</v>
      </c>
      <c r="D91" s="20" t="e">
        <f t="shared" si="12"/>
        <v>#N/A</v>
      </c>
      <c r="E91" s="25">
        <v>73</v>
      </c>
      <c r="F91" s="25">
        <f t="shared" si="13"/>
        <v>12.048192771084338</v>
      </c>
      <c r="G91" s="14">
        <f t="shared" si="10"/>
        <v>0.12048192771084337</v>
      </c>
      <c r="H91" s="11"/>
      <c r="I91" s="12">
        <f t="shared" si="14"/>
        <v>7.6701177393684507E-3</v>
      </c>
      <c r="J91" s="13">
        <f t="shared" si="17"/>
        <v>7.6701177393684503</v>
      </c>
      <c r="K91" s="11"/>
      <c r="L91" s="14" t="e">
        <f t="shared" si="15"/>
        <v>#N/A</v>
      </c>
      <c r="M91" s="14" t="e">
        <f t="shared" si="16"/>
        <v>#N/A</v>
      </c>
    </row>
    <row r="92" spans="1:13" x14ac:dyDescent="0.25">
      <c r="A92" s="19">
        <f>VBA!B150</f>
        <v>0</v>
      </c>
      <c r="B92" s="19">
        <f>VBA!B151</f>
        <v>0</v>
      </c>
      <c r="C92" s="20" t="e">
        <f t="shared" si="11"/>
        <v>#N/A</v>
      </c>
      <c r="D92" s="20" t="e">
        <f t="shared" si="12"/>
        <v>#N/A</v>
      </c>
      <c r="E92" s="25">
        <v>74</v>
      </c>
      <c r="F92" s="25">
        <f t="shared" si="13"/>
        <v>11.904761904761903</v>
      </c>
      <c r="G92" s="14">
        <f t="shared" si="10"/>
        <v>0.11904761904761903</v>
      </c>
      <c r="H92" s="11"/>
      <c r="I92" s="12">
        <f t="shared" si="14"/>
        <v>7.578806813899777E-3</v>
      </c>
      <c r="J92" s="13">
        <f t="shared" si="17"/>
        <v>7.5788068138997771</v>
      </c>
      <c r="K92" s="11"/>
      <c r="L92" s="14" t="e">
        <f t="shared" si="15"/>
        <v>#N/A</v>
      </c>
      <c r="M92" s="14" t="e">
        <f t="shared" si="16"/>
        <v>#N/A</v>
      </c>
    </row>
    <row r="93" spans="1:13" x14ac:dyDescent="0.25">
      <c r="A93" s="19">
        <f>VBA!B152</f>
        <v>0</v>
      </c>
      <c r="B93" s="19">
        <f>VBA!B153</f>
        <v>0</v>
      </c>
      <c r="C93" s="20" t="e">
        <f t="shared" si="11"/>
        <v>#N/A</v>
      </c>
      <c r="D93" s="20" t="e">
        <f t="shared" si="12"/>
        <v>#N/A</v>
      </c>
      <c r="E93" s="25">
        <v>75</v>
      </c>
      <c r="F93" s="25">
        <f t="shared" si="13"/>
        <v>11.76470588235294</v>
      </c>
      <c r="G93" s="14">
        <f t="shared" si="10"/>
        <v>0.1176470588235294</v>
      </c>
      <c r="H93" s="11"/>
      <c r="I93" s="12">
        <f t="shared" si="14"/>
        <v>7.4896443807950736E-3</v>
      </c>
      <c r="J93" s="13">
        <f t="shared" si="17"/>
        <v>7.4896443807950739</v>
      </c>
      <c r="K93" s="11"/>
      <c r="L93" s="14" t="e">
        <f t="shared" si="15"/>
        <v>#N/A</v>
      </c>
      <c r="M93" s="14" t="e">
        <f t="shared" si="16"/>
        <v>#N/A</v>
      </c>
    </row>
    <row r="94" spans="1:13" x14ac:dyDescent="0.25">
      <c r="A94" s="19">
        <f>VBA!B154</f>
        <v>0</v>
      </c>
      <c r="B94" s="19">
        <f>VBA!B155</f>
        <v>0</v>
      </c>
      <c r="C94" s="20" t="e">
        <f t="shared" si="11"/>
        <v>#N/A</v>
      </c>
      <c r="D94" s="20" t="e">
        <f t="shared" si="12"/>
        <v>#N/A</v>
      </c>
      <c r="E94" s="25">
        <v>76</v>
      </c>
      <c r="F94" s="25">
        <f t="shared" si="13"/>
        <v>11.627906976744185</v>
      </c>
      <c r="G94" s="14">
        <f t="shared" si="10"/>
        <v>0.11627906976744186</v>
      </c>
      <c r="H94" s="11"/>
      <c r="I94" s="12">
        <f t="shared" si="14"/>
        <v>7.4025554926462952E-3</v>
      </c>
      <c r="J94" s="13">
        <f t="shared" si="17"/>
        <v>7.4025554926462949</v>
      </c>
      <c r="K94" s="11"/>
      <c r="L94" s="14" t="e">
        <f t="shared" si="15"/>
        <v>#N/A</v>
      </c>
      <c r="M94" s="14" t="e">
        <f t="shared" si="16"/>
        <v>#N/A</v>
      </c>
    </row>
    <row r="95" spans="1:13" x14ac:dyDescent="0.25">
      <c r="A95" s="19">
        <f>VBA!B156</f>
        <v>0</v>
      </c>
      <c r="B95" s="19">
        <f>VBA!B157</f>
        <v>0</v>
      </c>
      <c r="C95" s="20" t="e">
        <f t="shared" si="11"/>
        <v>#N/A</v>
      </c>
      <c r="D95" s="20" t="e">
        <f t="shared" si="12"/>
        <v>#N/A</v>
      </c>
      <c r="E95" s="25">
        <v>77</v>
      </c>
      <c r="F95" s="25">
        <f t="shared" si="13"/>
        <v>11.494252873563218</v>
      </c>
      <c r="G95" s="14">
        <f t="shared" si="10"/>
        <v>0.11494252873563218</v>
      </c>
      <c r="H95" s="11"/>
      <c r="I95" s="12">
        <f t="shared" si="14"/>
        <v>7.3174686479032343E-3</v>
      </c>
      <c r="J95" s="13">
        <f t="shared" si="17"/>
        <v>7.317468647903234</v>
      </c>
      <c r="K95" s="11"/>
      <c r="L95" s="14" t="e">
        <f t="shared" si="15"/>
        <v>#N/A</v>
      </c>
      <c r="M95" s="14" t="e">
        <f t="shared" si="16"/>
        <v>#N/A</v>
      </c>
    </row>
    <row r="96" spans="1:13" x14ac:dyDescent="0.25">
      <c r="A96" s="19">
        <f>VBA!B158</f>
        <v>0</v>
      </c>
      <c r="B96" s="19">
        <f>VBA!B159</f>
        <v>0</v>
      </c>
      <c r="C96" s="20" t="e">
        <f t="shared" si="11"/>
        <v>#N/A</v>
      </c>
      <c r="D96" s="20" t="e">
        <f t="shared" si="12"/>
        <v>#N/A</v>
      </c>
      <c r="E96" s="25">
        <v>78</v>
      </c>
      <c r="F96" s="25">
        <f t="shared" si="13"/>
        <v>11.363636363636363</v>
      </c>
      <c r="G96" s="14">
        <f t="shared" si="10"/>
        <v>0.11363636363636363</v>
      </c>
      <c r="H96" s="11"/>
      <c r="I96" s="12">
        <f t="shared" si="14"/>
        <v>7.2343155950861512E-3</v>
      </c>
      <c r="J96" s="13">
        <f t="shared" si="17"/>
        <v>7.2343155950861515</v>
      </c>
      <c r="K96" s="11"/>
      <c r="L96" s="14" t="e">
        <f t="shared" si="15"/>
        <v>#N/A</v>
      </c>
      <c r="M96" s="14" t="e">
        <f t="shared" si="16"/>
        <v>#N/A</v>
      </c>
    </row>
    <row r="97" spans="1:13" x14ac:dyDescent="0.25">
      <c r="A97" s="19">
        <f>VBA!B160</f>
        <v>0</v>
      </c>
      <c r="B97" s="19">
        <f>VBA!B161</f>
        <v>0</v>
      </c>
      <c r="C97" s="20" t="e">
        <f t="shared" si="11"/>
        <v>#N/A</v>
      </c>
      <c r="D97" s="20" t="e">
        <f t="shared" si="12"/>
        <v>#N/A</v>
      </c>
      <c r="E97" s="25">
        <v>79</v>
      </c>
      <c r="F97" s="25">
        <f t="shared" si="13"/>
        <v>11.235955056179774</v>
      </c>
      <c r="G97" s="14">
        <f t="shared" si="10"/>
        <v>0.11235955056179775</v>
      </c>
      <c r="H97" s="11"/>
      <c r="I97" s="12">
        <f t="shared" si="14"/>
        <v>7.1530311501975426E-3</v>
      </c>
      <c r="J97" s="13">
        <f t="shared" si="17"/>
        <v>7.1530311501975428</v>
      </c>
      <c r="K97" s="11"/>
      <c r="L97" s="14" t="e">
        <f t="shared" si="15"/>
        <v>#N/A</v>
      </c>
      <c r="M97" s="14" t="e">
        <f t="shared" si="16"/>
        <v>#N/A</v>
      </c>
    </row>
    <row r="98" spans="1:13" x14ac:dyDescent="0.25">
      <c r="A98" s="19">
        <f>VBA!B162</f>
        <v>0</v>
      </c>
      <c r="B98" s="19">
        <f>VBA!B163</f>
        <v>0</v>
      </c>
      <c r="C98" s="20" t="e">
        <f t="shared" si="11"/>
        <v>#N/A</v>
      </c>
      <c r="D98" s="20" t="e">
        <f t="shared" si="12"/>
        <v>#N/A</v>
      </c>
      <c r="E98" s="25">
        <v>80</v>
      </c>
      <c r="F98" s="25">
        <f t="shared" si="13"/>
        <v>11.111111111111111</v>
      </c>
      <c r="G98" s="14">
        <f t="shared" si="10"/>
        <v>0.1111111111111111</v>
      </c>
      <c r="H98" s="11"/>
      <c r="I98" s="12">
        <f t="shared" si="14"/>
        <v>7.0735530263064594E-3</v>
      </c>
      <c r="J98" s="13">
        <f t="shared" si="17"/>
        <v>7.0735530263064597</v>
      </c>
      <c r="K98" s="11"/>
      <c r="L98" s="14" t="e">
        <f t="shared" si="15"/>
        <v>#N/A</v>
      </c>
      <c r="M98" s="14" t="e">
        <f t="shared" si="16"/>
        <v>#N/A</v>
      </c>
    </row>
    <row r="99" spans="1:13" x14ac:dyDescent="0.25">
      <c r="A99" s="19">
        <f>VBA!B164</f>
        <v>0</v>
      </c>
      <c r="B99" s="19">
        <f>VBA!B165</f>
        <v>0</v>
      </c>
      <c r="C99" s="20" t="e">
        <f t="shared" si="11"/>
        <v>#N/A</v>
      </c>
      <c r="D99" s="20" t="e">
        <f t="shared" si="12"/>
        <v>#N/A</v>
      </c>
      <c r="E99" s="25">
        <v>81</v>
      </c>
      <c r="F99" s="25">
        <f t="shared" si="13"/>
        <v>10.989010989010989</v>
      </c>
      <c r="G99" s="14">
        <f t="shared" si="10"/>
        <v>0.10989010989010989</v>
      </c>
      <c r="H99" s="11"/>
      <c r="I99" s="12">
        <f t="shared" si="14"/>
        <v>6.9958216743690261E-3</v>
      </c>
      <c r="J99" s="13">
        <f t="shared" si="17"/>
        <v>6.9958216743690258</v>
      </c>
      <c r="K99" s="11"/>
      <c r="L99" s="14" t="e">
        <f t="shared" si="15"/>
        <v>#N/A</v>
      </c>
      <c r="M99" s="14" t="e">
        <f t="shared" si="16"/>
        <v>#N/A</v>
      </c>
    </row>
    <row r="100" spans="1:13" x14ac:dyDescent="0.25">
      <c r="A100" s="19">
        <f>VBA!B166</f>
        <v>0</v>
      </c>
      <c r="B100" s="19">
        <f>VBA!B167</f>
        <v>0</v>
      </c>
      <c r="C100" s="20" t="e">
        <f t="shared" si="11"/>
        <v>#N/A</v>
      </c>
      <c r="D100" s="20" t="e">
        <f t="shared" si="12"/>
        <v>#N/A</v>
      </c>
      <c r="E100" s="25">
        <v>82</v>
      </c>
      <c r="F100" s="25">
        <f t="shared" si="13"/>
        <v>10.869565217391305</v>
      </c>
      <c r="G100" s="14">
        <f t="shared" si="10"/>
        <v>0.10869565217391304</v>
      </c>
      <c r="H100" s="11"/>
      <c r="I100" s="12">
        <f t="shared" si="14"/>
        <v>6.9197801344302329E-3</v>
      </c>
      <c r="J100" s="13">
        <f t="shared" si="17"/>
        <v>6.9197801344302325</v>
      </c>
      <c r="K100" s="11"/>
      <c r="L100" s="14" t="e">
        <f t="shared" si="15"/>
        <v>#N/A</v>
      </c>
      <c r="M100" s="14" t="e">
        <f t="shared" si="16"/>
        <v>#N/A</v>
      </c>
    </row>
    <row r="101" spans="1:13" x14ac:dyDescent="0.25">
      <c r="A101" s="19">
        <f>VBA!B168</f>
        <v>0</v>
      </c>
      <c r="B101" s="19">
        <f>VBA!B169</f>
        <v>0</v>
      </c>
      <c r="C101" s="20" t="e">
        <f t="shared" si="11"/>
        <v>#N/A</v>
      </c>
      <c r="D101" s="20" t="e">
        <f t="shared" si="12"/>
        <v>#N/A</v>
      </c>
      <c r="E101" s="25">
        <v>83</v>
      </c>
      <c r="F101" s="25">
        <f t="shared" si="13"/>
        <v>10.752688172043012</v>
      </c>
      <c r="G101" s="14">
        <f t="shared" si="10"/>
        <v>0.10752688172043012</v>
      </c>
      <c r="H101" s="11"/>
      <c r="I101" s="12">
        <f t="shared" si="14"/>
        <v>6.8453738964256074E-3</v>
      </c>
      <c r="J101" s="13">
        <f t="shared" si="17"/>
        <v>6.845373896425607</v>
      </c>
      <c r="K101" s="11"/>
      <c r="L101" s="14" t="e">
        <f t="shared" si="15"/>
        <v>#N/A</v>
      </c>
      <c r="M101" s="14" t="e">
        <f t="shared" si="16"/>
        <v>#N/A</v>
      </c>
    </row>
    <row r="102" spans="1:13" x14ac:dyDescent="0.25">
      <c r="A102" s="19">
        <f>VBA!B170</f>
        <v>0</v>
      </c>
      <c r="B102" s="19">
        <f>VBA!B171</f>
        <v>0</v>
      </c>
      <c r="C102" s="20" t="e">
        <f t="shared" si="11"/>
        <v>#N/A</v>
      </c>
      <c r="D102" s="20" t="e">
        <f t="shared" si="12"/>
        <v>#N/A</v>
      </c>
      <c r="E102" s="25">
        <v>84</v>
      </c>
      <c r="F102" s="25">
        <f t="shared" si="13"/>
        <v>10.638297872340425</v>
      </c>
      <c r="G102" s="14">
        <f t="shared" si="10"/>
        <v>0.10638297872340426</v>
      </c>
      <c r="H102" s="11"/>
      <c r="I102" s="12">
        <f t="shared" si="14"/>
        <v>6.7725507698678869E-3</v>
      </c>
      <c r="J102" s="13">
        <f t="shared" si="17"/>
        <v>6.7725507698678866</v>
      </c>
      <c r="K102" s="11"/>
      <c r="L102" s="14" t="e">
        <f t="shared" si="15"/>
        <v>#N/A</v>
      </c>
      <c r="M102" s="14" t="e">
        <f t="shared" si="16"/>
        <v>#N/A</v>
      </c>
    </row>
    <row r="103" spans="1:13" x14ac:dyDescent="0.25">
      <c r="A103" s="19">
        <f>VBA!B172</f>
        <v>0</v>
      </c>
      <c r="B103" s="19">
        <f>VBA!B173</f>
        <v>0</v>
      </c>
      <c r="C103" s="20" t="e">
        <f t="shared" si="11"/>
        <v>#N/A</v>
      </c>
      <c r="D103" s="20" t="e">
        <f t="shared" si="12"/>
        <v>#N/A</v>
      </c>
      <c r="E103" s="25">
        <v>85</v>
      </c>
      <c r="F103" s="25">
        <f t="shared" si="13"/>
        <v>10.526315789473683</v>
      </c>
      <c r="G103" s="14">
        <f t="shared" si="10"/>
        <v>0.10526315789473684</v>
      </c>
      <c r="H103" s="11"/>
      <c r="I103" s="12">
        <f t="shared" si="14"/>
        <v>6.7012607617640144E-3</v>
      </c>
      <c r="J103" s="13">
        <f t="shared" si="17"/>
        <v>6.7012607617640141</v>
      </c>
      <c r="K103" s="11"/>
      <c r="L103" s="14" t="e">
        <f t="shared" si="15"/>
        <v>#N/A</v>
      </c>
      <c r="M103" s="14" t="e">
        <f t="shared" si="16"/>
        <v>#N/A</v>
      </c>
    </row>
    <row r="104" spans="1:13" x14ac:dyDescent="0.25">
      <c r="A104" s="19">
        <f>VBA!B174</f>
        <v>0</v>
      </c>
      <c r="B104" s="19">
        <f>VBA!B175</f>
        <v>0</v>
      </c>
      <c r="C104" s="20" t="e">
        <f t="shared" si="11"/>
        <v>#N/A</v>
      </c>
      <c r="D104" s="20" t="e">
        <f t="shared" si="12"/>
        <v>#N/A</v>
      </c>
      <c r="E104" s="25">
        <v>86</v>
      </c>
      <c r="F104" s="25">
        <f t="shared" si="13"/>
        <v>10.416666666666666</v>
      </c>
      <c r="G104" s="14">
        <f t="shared" si="10"/>
        <v>0.10416666666666666</v>
      </c>
      <c r="H104" s="11"/>
      <c r="I104" s="12">
        <f t="shared" si="14"/>
        <v>6.6314559621623052E-3</v>
      </c>
      <c r="J104" s="13">
        <f t="shared" si="17"/>
        <v>6.6314559621623053</v>
      </c>
      <c r="K104" s="11"/>
      <c r="L104" s="14" t="e">
        <f t="shared" si="15"/>
        <v>#N/A</v>
      </c>
      <c r="M104" s="14" t="e">
        <f t="shared" si="16"/>
        <v>#N/A</v>
      </c>
    </row>
    <row r="105" spans="1:13" x14ac:dyDescent="0.25">
      <c r="A105" s="19">
        <f>VBA!B176</f>
        <v>0</v>
      </c>
      <c r="B105" s="19">
        <f>VBA!B177</f>
        <v>0</v>
      </c>
      <c r="C105" s="20" t="e">
        <f t="shared" si="11"/>
        <v>#N/A</v>
      </c>
      <c r="D105" s="20" t="e">
        <f t="shared" si="12"/>
        <v>#N/A</v>
      </c>
      <c r="E105" s="25">
        <v>87</v>
      </c>
      <c r="F105" s="25">
        <f t="shared" si="13"/>
        <v>10.309278350515465</v>
      </c>
      <c r="G105" s="14">
        <f t="shared" si="10"/>
        <v>0.10309278350515465</v>
      </c>
      <c r="H105" s="11"/>
      <c r="I105" s="12">
        <f t="shared" si="14"/>
        <v>6.5630904367791898E-3</v>
      </c>
      <c r="J105" s="13">
        <f t="shared" si="17"/>
        <v>6.5630904367791896</v>
      </c>
      <c r="K105" s="11"/>
      <c r="L105" s="14" t="e">
        <f t="shared" si="15"/>
        <v>#N/A</v>
      </c>
      <c r="M105" s="14" t="e">
        <f t="shared" si="16"/>
        <v>#N/A</v>
      </c>
    </row>
    <row r="106" spans="1:13" x14ac:dyDescent="0.25">
      <c r="A106" s="19">
        <f>VBA!B178</f>
        <v>0</v>
      </c>
      <c r="B106" s="19">
        <f>VBA!B179</f>
        <v>0</v>
      </c>
      <c r="C106" s="20" t="e">
        <f t="shared" si="11"/>
        <v>#N/A</v>
      </c>
      <c r="D106" s="20" t="e">
        <f t="shared" si="12"/>
        <v>#N/A</v>
      </c>
      <c r="E106" s="25">
        <v>88</v>
      </c>
      <c r="F106" s="25">
        <f t="shared" si="13"/>
        <v>10.204081632653061</v>
      </c>
      <c r="G106" s="14">
        <f t="shared" si="10"/>
        <v>0.10204081632653061</v>
      </c>
      <c r="H106" s="11"/>
      <c r="I106" s="12">
        <f t="shared" si="14"/>
        <v>6.4961201261998103E-3</v>
      </c>
      <c r="J106" s="13">
        <f t="shared" si="17"/>
        <v>6.4961201261998101</v>
      </c>
      <c r="K106" s="11"/>
      <c r="L106" s="14" t="e">
        <f t="shared" si="15"/>
        <v>#N/A</v>
      </c>
      <c r="M106" s="14" t="e">
        <f t="shared" si="16"/>
        <v>#N/A</v>
      </c>
    </row>
    <row r="107" spans="1:13" x14ac:dyDescent="0.25">
      <c r="A107" s="19">
        <f>VBA!B180</f>
        <v>0</v>
      </c>
      <c r="B107" s="19">
        <f>VBA!B181</f>
        <v>0</v>
      </c>
      <c r="C107" s="20" t="e">
        <f t="shared" si="11"/>
        <v>#N/A</v>
      </c>
      <c r="D107" s="20" t="e">
        <f t="shared" si="12"/>
        <v>#N/A</v>
      </c>
      <c r="E107" s="25">
        <v>89</v>
      </c>
      <c r="F107" s="25">
        <f t="shared" si="13"/>
        <v>10.101010101010102</v>
      </c>
      <c r="G107" s="14">
        <f t="shared" si="10"/>
        <v>0.10101010101010102</v>
      </c>
      <c r="H107" s="11"/>
      <c r="I107" s="12">
        <f t="shared" si="14"/>
        <v>6.4305027511876913E-3</v>
      </c>
      <c r="J107" s="13">
        <f t="shared" si="17"/>
        <v>6.4305027511876913</v>
      </c>
      <c r="K107" s="11"/>
      <c r="L107" s="14" t="e">
        <f t="shared" si="15"/>
        <v>#N/A</v>
      </c>
      <c r="M107" s="14" t="e">
        <f t="shared" si="16"/>
        <v>#N/A</v>
      </c>
    </row>
    <row r="108" spans="1:13" x14ac:dyDescent="0.25">
      <c r="A108" s="19">
        <f>VBA!B182</f>
        <v>0</v>
      </c>
      <c r="B108" s="19">
        <f>VBA!B183</f>
        <v>0</v>
      </c>
      <c r="C108" s="20" t="e">
        <f t="shared" si="11"/>
        <v>#N/A</v>
      </c>
      <c r="D108" s="20" t="e">
        <f t="shared" si="12"/>
        <v>#N/A</v>
      </c>
      <c r="E108" s="25">
        <v>90</v>
      </c>
      <c r="F108" s="25">
        <f t="shared" si="13"/>
        <v>10</v>
      </c>
      <c r="G108" s="14">
        <f t="shared" si="10"/>
        <v>0.1</v>
      </c>
      <c r="H108" s="11"/>
      <c r="I108" s="12">
        <f t="shared" si="14"/>
        <v>6.3661977236758142E-3</v>
      </c>
      <c r="J108" s="13">
        <f t="shared" si="17"/>
        <v>6.366197723675814</v>
      </c>
      <c r="K108" s="11"/>
      <c r="L108" s="14" t="e">
        <f t="shared" si="15"/>
        <v>#N/A</v>
      </c>
      <c r="M108" s="14" t="e">
        <f t="shared" si="16"/>
        <v>#N/A</v>
      </c>
    </row>
    <row r="109" spans="1:13" x14ac:dyDescent="0.25">
      <c r="A109" s="19">
        <f>VBA!B184</f>
        <v>0</v>
      </c>
      <c r="B109" s="19">
        <f>VBA!B185</f>
        <v>0</v>
      </c>
      <c r="C109" s="20" t="e">
        <f t="shared" si="11"/>
        <v>#N/A</v>
      </c>
      <c r="D109" s="20" t="e">
        <f t="shared" si="12"/>
        <v>#N/A</v>
      </c>
      <c r="E109" s="25">
        <v>91</v>
      </c>
      <c r="F109" s="25">
        <f t="shared" si="13"/>
        <v>9.9009900990099009</v>
      </c>
      <c r="G109" s="14">
        <f t="shared" si="10"/>
        <v>9.9009900990099015E-2</v>
      </c>
      <c r="H109" s="11"/>
      <c r="I109" s="12">
        <f t="shared" si="14"/>
        <v>6.3031660630453604E-3</v>
      </c>
      <c r="J109" s="13">
        <f t="shared" si="17"/>
        <v>6.3031660630453601</v>
      </c>
      <c r="K109" s="11"/>
      <c r="L109" s="14" t="e">
        <f t="shared" si="15"/>
        <v>#N/A</v>
      </c>
      <c r="M109" s="14" t="e">
        <f t="shared" si="16"/>
        <v>#N/A</v>
      </c>
    </row>
    <row r="110" spans="1:13" x14ac:dyDescent="0.25">
      <c r="A110" s="19">
        <f>VBA!B186</f>
        <v>0</v>
      </c>
      <c r="B110" s="19">
        <f>VBA!B187</f>
        <v>0</v>
      </c>
      <c r="C110" s="20" t="e">
        <f t="shared" si="11"/>
        <v>#N/A</v>
      </c>
      <c r="D110" s="20" t="e">
        <f t="shared" si="12"/>
        <v>#N/A</v>
      </c>
      <c r="E110" s="25">
        <v>92</v>
      </c>
      <c r="F110" s="25">
        <f t="shared" si="13"/>
        <v>9.8039215686274517</v>
      </c>
      <c r="G110" s="14">
        <f t="shared" si="10"/>
        <v>9.8039215686274522E-2</v>
      </c>
      <c r="H110" s="11"/>
      <c r="I110" s="12">
        <f t="shared" si="14"/>
        <v>6.2413703173292293E-3</v>
      </c>
      <c r="J110" s="13">
        <f t="shared" si="17"/>
        <v>6.2413703173292294</v>
      </c>
      <c r="K110" s="11"/>
      <c r="L110" s="14" t="e">
        <f t="shared" si="15"/>
        <v>#N/A</v>
      </c>
      <c r="M110" s="14" t="e">
        <f t="shared" si="16"/>
        <v>#N/A</v>
      </c>
    </row>
    <row r="111" spans="1:13" x14ac:dyDescent="0.25">
      <c r="A111" s="19">
        <f>VBA!B188</f>
        <v>0</v>
      </c>
      <c r="B111" s="19">
        <f>VBA!B189</f>
        <v>0</v>
      </c>
      <c r="C111" s="20" t="e">
        <f t="shared" si="11"/>
        <v>#N/A</v>
      </c>
      <c r="D111" s="20" t="e">
        <f t="shared" si="12"/>
        <v>#N/A</v>
      </c>
      <c r="E111" s="25">
        <v>93</v>
      </c>
      <c r="F111" s="25">
        <f t="shared" si="13"/>
        <v>9.7087378640776691</v>
      </c>
      <c r="G111" s="14">
        <f t="shared" si="10"/>
        <v>9.7087378640776698E-2</v>
      </c>
      <c r="H111" s="11"/>
      <c r="I111" s="12">
        <f t="shared" si="14"/>
        <v>6.1807744890056433E-3</v>
      </c>
      <c r="J111" s="13">
        <f t="shared" si="17"/>
        <v>6.1807744890056435</v>
      </c>
      <c r="K111" s="11"/>
      <c r="L111" s="14" t="e">
        <f t="shared" si="15"/>
        <v>#N/A</v>
      </c>
      <c r="M111" s="14" t="e">
        <f t="shared" si="16"/>
        <v>#N/A</v>
      </c>
    </row>
    <row r="112" spans="1:13" x14ac:dyDescent="0.25">
      <c r="A112" s="19">
        <f>VBA!B190</f>
        <v>0</v>
      </c>
      <c r="B112" s="19">
        <f>VBA!B191</f>
        <v>0</v>
      </c>
      <c r="C112" s="20" t="e">
        <f t="shared" si="11"/>
        <v>#N/A</v>
      </c>
      <c r="D112" s="20" t="e">
        <f t="shared" si="12"/>
        <v>#N/A</v>
      </c>
      <c r="E112" s="25">
        <v>94</v>
      </c>
      <c r="F112" s="25">
        <f t="shared" si="13"/>
        <v>9.6153846153846168</v>
      </c>
      <c r="G112" s="14">
        <f t="shared" si="10"/>
        <v>9.6153846153846173E-2</v>
      </c>
      <c r="H112" s="11"/>
      <c r="I112" s="12">
        <f t="shared" si="14"/>
        <v>6.1213439650728988E-3</v>
      </c>
      <c r="J112" s="13">
        <f t="shared" si="17"/>
        <v>6.1213439650728985</v>
      </c>
      <c r="K112" s="11"/>
      <c r="L112" s="14" t="e">
        <f t="shared" si="15"/>
        <v>#N/A</v>
      </c>
      <c r="M112" s="14" t="e">
        <f t="shared" si="16"/>
        <v>#N/A</v>
      </c>
    </row>
    <row r="113" spans="1:13" x14ac:dyDescent="0.25">
      <c r="A113" s="19">
        <f>VBA!B192</f>
        <v>0</v>
      </c>
      <c r="B113" s="19">
        <f>VBA!B193</f>
        <v>0</v>
      </c>
      <c r="C113" s="20" t="e">
        <f t="shared" si="11"/>
        <v>#N/A</v>
      </c>
      <c r="D113" s="20" t="e">
        <f t="shared" si="12"/>
        <v>#N/A</v>
      </c>
      <c r="E113" s="25">
        <v>95</v>
      </c>
      <c r="F113" s="25">
        <f t="shared" si="13"/>
        <v>9.5238095238095255</v>
      </c>
      <c r="G113" s="14">
        <f t="shared" si="10"/>
        <v>9.5238095238095261E-2</v>
      </c>
      <c r="H113" s="11"/>
      <c r="I113" s="12">
        <f t="shared" si="14"/>
        <v>6.0630454511198242E-3</v>
      </c>
      <c r="J113" s="13">
        <f t="shared" si="17"/>
        <v>6.063045451119824</v>
      </c>
      <c r="K113" s="11"/>
      <c r="L113" s="14" t="e">
        <f t="shared" si="15"/>
        <v>#N/A</v>
      </c>
      <c r="M113" s="14" t="e">
        <f t="shared" si="16"/>
        <v>#N/A</v>
      </c>
    </row>
    <row r="114" spans="1:13" x14ac:dyDescent="0.25">
      <c r="A114" s="19">
        <f>VBA!B194</f>
        <v>0</v>
      </c>
      <c r="B114" s="19">
        <f>VBA!B195</f>
        <v>0</v>
      </c>
      <c r="C114" s="20" t="e">
        <f t="shared" si="11"/>
        <v>#N/A</v>
      </c>
      <c r="D114" s="20" t="e">
        <f t="shared" si="12"/>
        <v>#N/A</v>
      </c>
      <c r="E114" s="25">
        <v>96</v>
      </c>
      <c r="F114" s="25">
        <f t="shared" si="13"/>
        <v>9.4339622641509422</v>
      </c>
      <c r="G114" s="14">
        <f t="shared" ref="G114:G116" si="18">($G$11*F114)/100</f>
        <v>9.4339622641509427E-2</v>
      </c>
      <c r="H114" s="11"/>
      <c r="I114" s="12">
        <f t="shared" si="14"/>
        <v>6.0058469091281257E-3</v>
      </c>
      <c r="J114" s="13">
        <f t="shared" si="17"/>
        <v>6.0058469091281257</v>
      </c>
      <c r="K114" s="11"/>
      <c r="L114" s="14" t="e">
        <f t="shared" si="15"/>
        <v>#N/A</v>
      </c>
      <c r="M114" s="14" t="e">
        <f t="shared" si="16"/>
        <v>#N/A</v>
      </c>
    </row>
    <row r="115" spans="1:13" x14ac:dyDescent="0.25">
      <c r="A115" s="19">
        <f>VBA!B196</f>
        <v>0</v>
      </c>
      <c r="B115" s="19">
        <f>VBA!B197</f>
        <v>0</v>
      </c>
      <c r="C115" s="20" t="e">
        <f t="shared" si="11"/>
        <v>#N/A</v>
      </c>
      <c r="D115" s="20" t="e">
        <f t="shared" si="12"/>
        <v>#N/A</v>
      </c>
      <c r="E115" s="25">
        <v>97</v>
      </c>
      <c r="F115" s="25">
        <f t="shared" si="13"/>
        <v>9.3457943925233646</v>
      </c>
      <c r="G115" s="14">
        <f t="shared" si="18"/>
        <v>9.3457943925233641E-2</v>
      </c>
      <c r="H115" s="11"/>
      <c r="I115" s="12">
        <f t="shared" si="14"/>
        <v>5.949717498762443E-3</v>
      </c>
      <c r="J115" s="13">
        <f t="shared" si="17"/>
        <v>5.9497174987624426</v>
      </c>
      <c r="K115" s="11"/>
      <c r="L115" s="14" t="e">
        <f t="shared" si="15"/>
        <v>#N/A</v>
      </c>
      <c r="M115" s="14" t="e">
        <f t="shared" si="16"/>
        <v>#N/A</v>
      </c>
    </row>
    <row r="116" spans="1:13" x14ac:dyDescent="0.25">
      <c r="A116" s="19">
        <f>VBA!B198</f>
        <v>0</v>
      </c>
      <c r="B116" s="19">
        <f>VBA!B199</f>
        <v>0</v>
      </c>
      <c r="C116" s="20" t="e">
        <f t="shared" si="11"/>
        <v>#N/A</v>
      </c>
      <c r="D116" s="20" t="e">
        <f>IF(AND(A116&gt;0,B116&gt;0),C116/$C$17,NA())</f>
        <v>#N/A</v>
      </c>
      <c r="E116" s="25">
        <v>98</v>
      </c>
      <c r="F116" s="25">
        <f t="shared" si="13"/>
        <v>9.2592592592592595</v>
      </c>
      <c r="G116" s="14">
        <f t="shared" si="18"/>
        <v>9.2592592592592601E-2</v>
      </c>
      <c r="H116" s="11"/>
      <c r="I116" s="12">
        <f t="shared" si="14"/>
        <v>5.8946275219220502E-3</v>
      </c>
      <c r="J116" s="13">
        <f t="shared" si="17"/>
        <v>5.8946275219220503</v>
      </c>
      <c r="K116" s="11"/>
      <c r="L116" s="14" t="e">
        <f t="shared" si="15"/>
        <v>#N/A</v>
      </c>
      <c r="M116" s="14" t="e">
        <f t="shared" si="16"/>
        <v>#N/A</v>
      </c>
    </row>
    <row r="117" spans="1:13" x14ac:dyDescent="0.25">
      <c r="B117" s="1"/>
      <c r="C117" s="1"/>
      <c r="D117" s="1"/>
    </row>
    <row r="118" spans="1:13" x14ac:dyDescent="0.25">
      <c r="B118" s="1"/>
      <c r="C118" s="1"/>
      <c r="D118" s="1"/>
    </row>
    <row r="119" spans="1:13" x14ac:dyDescent="0.25">
      <c r="B119" s="1"/>
      <c r="C119" s="1"/>
      <c r="D119" s="1"/>
    </row>
    <row r="120" spans="1:13" x14ac:dyDescent="0.25">
      <c r="B120" s="1"/>
      <c r="C120" s="1"/>
      <c r="D120" s="1"/>
    </row>
    <row r="121" spans="1:13" x14ac:dyDescent="0.25">
      <c r="B121" s="1"/>
      <c r="C121" s="1"/>
      <c r="D121" s="1"/>
    </row>
    <row r="122" spans="1:13" x14ac:dyDescent="0.25">
      <c r="B122" s="1"/>
      <c r="C122" s="1"/>
      <c r="D122" s="1"/>
    </row>
    <row r="123" spans="1:13" x14ac:dyDescent="0.25">
      <c r="B123" s="1"/>
      <c r="C123" s="1"/>
      <c r="D123" s="1"/>
    </row>
    <row r="124" spans="1:13" x14ac:dyDescent="0.25">
      <c r="B124" s="1"/>
      <c r="C124" s="1"/>
      <c r="D124" s="1"/>
    </row>
    <row r="125" spans="1:13" x14ac:dyDescent="0.25">
      <c r="B125" s="1"/>
      <c r="C125" s="1"/>
      <c r="D125" s="1"/>
    </row>
    <row r="126" spans="1:13" x14ac:dyDescent="0.25">
      <c r="B126" s="1"/>
      <c r="C126" s="1"/>
      <c r="D126" s="1"/>
    </row>
    <row r="127" spans="1:13" x14ac:dyDescent="0.25">
      <c r="B127" s="1"/>
      <c r="C127" s="1"/>
      <c r="D127" s="1"/>
    </row>
    <row r="128" spans="1:13" x14ac:dyDescent="0.25">
      <c r="B128" s="1"/>
      <c r="C128" s="1"/>
      <c r="D128" s="1"/>
    </row>
    <row r="129" spans="2:4" x14ac:dyDescent="0.25">
      <c r="B129" s="1"/>
      <c r="C129" s="1"/>
      <c r="D129" s="1"/>
    </row>
    <row r="130" spans="2:4" x14ac:dyDescent="0.25">
      <c r="B130" s="1"/>
      <c r="C130" s="1"/>
      <c r="D130" s="1"/>
    </row>
    <row r="131" spans="2:4" x14ac:dyDescent="0.25">
      <c r="B131" s="1"/>
      <c r="C131" s="1"/>
      <c r="D131" s="1"/>
    </row>
    <row r="132" spans="2:4" x14ac:dyDescent="0.25">
      <c r="B132" s="1"/>
      <c r="C132" s="1"/>
      <c r="D132" s="1"/>
    </row>
    <row r="133" spans="2:4" x14ac:dyDescent="0.25">
      <c r="B133" s="1"/>
      <c r="C133" s="1"/>
      <c r="D133" s="1"/>
    </row>
    <row r="134" spans="2:4" x14ac:dyDescent="0.25">
      <c r="B134" s="1"/>
      <c r="C134" s="1"/>
      <c r="D134" s="1"/>
    </row>
    <row r="135" spans="2:4" x14ac:dyDescent="0.25">
      <c r="B135" s="1"/>
      <c r="C135" s="1"/>
      <c r="D135" s="1"/>
    </row>
    <row r="136" spans="2:4" x14ac:dyDescent="0.25">
      <c r="B136" s="1"/>
      <c r="C136" s="1"/>
      <c r="D136" s="1"/>
    </row>
    <row r="137" spans="2:4" x14ac:dyDescent="0.25">
      <c r="B137" s="1"/>
      <c r="C137" s="1"/>
      <c r="D137" s="1"/>
    </row>
    <row r="138" spans="2:4" x14ac:dyDescent="0.25">
      <c r="B138" s="1"/>
      <c r="C138" s="1"/>
      <c r="D138" s="1"/>
    </row>
    <row r="139" spans="2:4" x14ac:dyDescent="0.25">
      <c r="B139" s="1"/>
      <c r="C139" s="1"/>
      <c r="D139" s="1"/>
    </row>
    <row r="140" spans="2:4" x14ac:dyDescent="0.25">
      <c r="B140" s="1"/>
      <c r="C140" s="1"/>
      <c r="D140" s="1"/>
    </row>
    <row r="141" spans="2:4" x14ac:dyDescent="0.25">
      <c r="B141" s="1"/>
      <c r="C141" s="1"/>
      <c r="D141" s="1"/>
    </row>
    <row r="142" spans="2:4" x14ac:dyDescent="0.25">
      <c r="B142" s="1"/>
      <c r="C142" s="1"/>
      <c r="D142" s="1"/>
    </row>
    <row r="143" spans="2:4" x14ac:dyDescent="0.25">
      <c r="B143" s="1"/>
      <c r="C143" s="1"/>
      <c r="D143" s="1"/>
    </row>
    <row r="144" spans="2:4" x14ac:dyDescent="0.25">
      <c r="B144" s="1"/>
      <c r="C144" s="1"/>
      <c r="D144" s="1"/>
    </row>
    <row r="145" spans="1:4" x14ac:dyDescent="0.25">
      <c r="B145" s="1"/>
      <c r="C145" s="1"/>
      <c r="D145" s="1"/>
    </row>
    <row r="146" spans="1:4" x14ac:dyDescent="0.25">
      <c r="B146" s="1"/>
      <c r="C146" s="1"/>
      <c r="D146" s="1"/>
    </row>
    <row r="147" spans="1:4" x14ac:dyDescent="0.25">
      <c r="B147" s="1"/>
      <c r="C147" s="1"/>
      <c r="D147" s="1"/>
    </row>
    <row r="148" spans="1:4" x14ac:dyDescent="0.25">
      <c r="B148" s="1"/>
      <c r="C148" s="1"/>
      <c r="D148" s="1"/>
    </row>
    <row r="149" spans="1:4" x14ac:dyDescent="0.25">
      <c r="B149" s="1"/>
      <c r="C149" s="1"/>
      <c r="D149" s="1"/>
    </row>
    <row r="150" spans="1:4" x14ac:dyDescent="0.25">
      <c r="B150" s="1"/>
      <c r="C150" s="1"/>
      <c r="D150" s="1"/>
    </row>
    <row r="151" spans="1:4" x14ac:dyDescent="0.25">
      <c r="B151" s="1"/>
      <c r="C151" s="1"/>
      <c r="D151" s="1"/>
    </row>
    <row r="152" spans="1:4" x14ac:dyDescent="0.25">
      <c r="A152" s="1"/>
      <c r="B152" s="1"/>
      <c r="C152" s="1"/>
      <c r="D152" s="1"/>
    </row>
    <row r="153" spans="1:4" x14ac:dyDescent="0.25">
      <c r="A153" s="1"/>
      <c r="B153" s="1"/>
      <c r="C153" s="1"/>
      <c r="D153" s="1"/>
    </row>
    <row r="154" spans="1:4" x14ac:dyDescent="0.25">
      <c r="A154" s="1"/>
      <c r="B154" s="1"/>
      <c r="C154" s="1"/>
      <c r="D154" s="1"/>
    </row>
    <row r="155" spans="1:4" x14ac:dyDescent="0.25">
      <c r="A155" s="1"/>
      <c r="B155" s="1"/>
      <c r="C155" s="1"/>
      <c r="D155" s="1"/>
    </row>
    <row r="156" spans="1:4" x14ac:dyDescent="0.25">
      <c r="A156" s="1"/>
      <c r="B156" s="1"/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1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1"/>
      <c r="B163" s="1"/>
      <c r="C163" s="1"/>
      <c r="D163" s="1"/>
    </row>
    <row r="164" spans="1:4" x14ac:dyDescent="0.25">
      <c r="A164" s="1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1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1"/>
      <c r="B172" s="1"/>
      <c r="C172" s="1"/>
      <c r="D172" s="1"/>
    </row>
    <row r="173" spans="1:4" x14ac:dyDescent="0.25">
      <c r="A173" s="1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  <row r="177" spans="1:4" x14ac:dyDescent="0.25">
      <c r="A177" s="1"/>
      <c r="B177" s="1"/>
      <c r="C177" s="1"/>
      <c r="D177" s="1"/>
    </row>
    <row r="178" spans="1:4" x14ac:dyDescent="0.25">
      <c r="A178" s="1"/>
      <c r="B178" s="1"/>
      <c r="C178" s="1"/>
      <c r="D178" s="1"/>
    </row>
    <row r="179" spans="1:4" x14ac:dyDescent="0.25">
      <c r="A179" s="1"/>
      <c r="B179" s="1"/>
      <c r="C179" s="1"/>
      <c r="D179" s="1"/>
    </row>
    <row r="180" spans="1:4" x14ac:dyDescent="0.25">
      <c r="A180" s="1"/>
      <c r="B180" s="1"/>
      <c r="C180" s="1"/>
      <c r="D180" s="1"/>
    </row>
    <row r="181" spans="1:4" x14ac:dyDescent="0.25">
      <c r="A181" s="1"/>
      <c r="B181" s="1"/>
      <c r="C181" s="1"/>
      <c r="D181" s="1"/>
    </row>
    <row r="182" spans="1:4" x14ac:dyDescent="0.25">
      <c r="A182" s="1"/>
      <c r="B182" s="1"/>
      <c r="C182" s="1"/>
      <c r="D182" s="1"/>
    </row>
    <row r="183" spans="1:4" x14ac:dyDescent="0.25">
      <c r="A183" s="1"/>
      <c r="B183" s="1"/>
      <c r="C183" s="1"/>
      <c r="D183" s="1"/>
    </row>
    <row r="184" spans="1:4" x14ac:dyDescent="0.25">
      <c r="A184" s="1"/>
      <c r="B184" s="1"/>
      <c r="C184" s="1"/>
      <c r="D184" s="1"/>
    </row>
    <row r="185" spans="1:4" x14ac:dyDescent="0.25">
      <c r="A185" s="1"/>
      <c r="B185" s="1"/>
      <c r="C185" s="1"/>
      <c r="D185" s="1"/>
    </row>
    <row r="186" spans="1:4" x14ac:dyDescent="0.25">
      <c r="A186" s="1"/>
      <c r="B186" s="1"/>
      <c r="C186" s="1"/>
      <c r="D186" s="1"/>
    </row>
    <row r="187" spans="1:4" x14ac:dyDescent="0.25">
      <c r="A187" s="1"/>
      <c r="B187" s="1"/>
      <c r="C187" s="1"/>
      <c r="D187" s="1"/>
    </row>
    <row r="188" spans="1:4" x14ac:dyDescent="0.25">
      <c r="A188" s="1"/>
      <c r="B188" s="1"/>
      <c r="C188" s="1"/>
      <c r="D188" s="1"/>
    </row>
    <row r="189" spans="1:4" x14ac:dyDescent="0.25">
      <c r="A189" s="1"/>
      <c r="B189" s="1"/>
      <c r="C189" s="1"/>
      <c r="D189" s="1"/>
    </row>
    <row r="190" spans="1:4" x14ac:dyDescent="0.25">
      <c r="A190" s="1"/>
      <c r="B190" s="1"/>
      <c r="C190" s="1"/>
      <c r="D190" s="1"/>
    </row>
    <row r="191" spans="1:4" x14ac:dyDescent="0.25">
      <c r="A191" s="1"/>
      <c r="B191" s="1"/>
      <c r="C191" s="1"/>
      <c r="D191" s="1"/>
    </row>
    <row r="192" spans="1:4" x14ac:dyDescent="0.25">
      <c r="A192" s="1"/>
      <c r="B192" s="1"/>
      <c r="C192" s="1"/>
      <c r="D192" s="1"/>
    </row>
    <row r="193" spans="1:4" x14ac:dyDescent="0.25">
      <c r="A193" s="1"/>
      <c r="B193" s="1"/>
      <c r="C193" s="1"/>
      <c r="D193" s="1"/>
    </row>
    <row r="194" spans="1:4" x14ac:dyDescent="0.25">
      <c r="A194" s="1"/>
      <c r="B194" s="1"/>
      <c r="C194" s="1"/>
      <c r="D194" s="1"/>
    </row>
    <row r="195" spans="1:4" x14ac:dyDescent="0.25">
      <c r="A195" s="1"/>
      <c r="B195" s="1"/>
      <c r="C195" s="1"/>
      <c r="D195" s="1"/>
    </row>
    <row r="196" spans="1:4" x14ac:dyDescent="0.25">
      <c r="A196" s="1"/>
      <c r="B196" s="1"/>
      <c r="C196" s="1"/>
      <c r="D196" s="1"/>
    </row>
    <row r="197" spans="1:4" x14ac:dyDescent="0.25">
      <c r="A197" s="1"/>
      <c r="B197" s="1"/>
      <c r="C197" s="1"/>
      <c r="D197" s="1"/>
    </row>
    <row r="198" spans="1:4" x14ac:dyDescent="0.25">
      <c r="A198" s="1"/>
      <c r="B198" s="1"/>
      <c r="C198" s="1"/>
      <c r="D198" s="1"/>
    </row>
    <row r="199" spans="1:4" x14ac:dyDescent="0.25">
      <c r="A199" s="1"/>
      <c r="B199" s="1"/>
      <c r="C199" s="1"/>
      <c r="D199" s="1"/>
    </row>
    <row r="200" spans="1:4" x14ac:dyDescent="0.25">
      <c r="A200" s="1"/>
      <c r="B200" s="1"/>
      <c r="C200" s="1"/>
      <c r="D200" s="1"/>
    </row>
    <row r="201" spans="1:4" x14ac:dyDescent="0.25">
      <c r="A201" s="1"/>
      <c r="B201" s="1"/>
      <c r="C201" s="1"/>
      <c r="D201" s="1"/>
    </row>
    <row r="202" spans="1:4" x14ac:dyDescent="0.25">
      <c r="A202" s="1"/>
      <c r="B202" s="1"/>
      <c r="C202" s="1"/>
      <c r="D202" s="1"/>
    </row>
    <row r="203" spans="1:4" x14ac:dyDescent="0.25">
      <c r="A203" s="1"/>
      <c r="B203" s="1"/>
      <c r="C203" s="1"/>
      <c r="D203" s="1"/>
    </row>
    <row r="204" spans="1:4" x14ac:dyDescent="0.25">
      <c r="A204" s="1"/>
      <c r="B204" s="1"/>
      <c r="C204" s="1"/>
      <c r="D204" s="1"/>
    </row>
    <row r="205" spans="1:4" x14ac:dyDescent="0.25">
      <c r="A205" s="1"/>
      <c r="B205" s="1"/>
      <c r="C205" s="1"/>
      <c r="D205" s="1"/>
    </row>
    <row r="206" spans="1:4" x14ac:dyDescent="0.25">
      <c r="A206" s="1"/>
      <c r="B206" s="1"/>
      <c r="C206" s="1"/>
      <c r="D206" s="1"/>
    </row>
    <row r="207" spans="1:4" x14ac:dyDescent="0.25">
      <c r="A207" s="1"/>
      <c r="B207" s="1"/>
      <c r="C207" s="1"/>
      <c r="D207" s="1"/>
    </row>
    <row r="208" spans="1:4" x14ac:dyDescent="0.25">
      <c r="A208" s="1"/>
      <c r="B208" s="1"/>
      <c r="C208" s="1"/>
      <c r="D208" s="1"/>
    </row>
    <row r="209" spans="1:4" x14ac:dyDescent="0.25">
      <c r="A209" s="1"/>
      <c r="B209" s="1"/>
      <c r="C209" s="1"/>
      <c r="D209" s="1"/>
    </row>
    <row r="210" spans="1:4" x14ac:dyDescent="0.25">
      <c r="A210" s="1"/>
      <c r="B210" s="1"/>
      <c r="C210" s="1"/>
      <c r="D210" s="1"/>
    </row>
    <row r="211" spans="1:4" x14ac:dyDescent="0.25">
      <c r="A211" s="1"/>
      <c r="B211" s="1"/>
      <c r="C211" s="1"/>
      <c r="D211" s="1"/>
    </row>
    <row r="212" spans="1:4" x14ac:dyDescent="0.25">
      <c r="A212" s="1"/>
      <c r="B212" s="1"/>
      <c r="C212" s="1"/>
      <c r="D212" s="1"/>
    </row>
    <row r="213" spans="1:4" x14ac:dyDescent="0.25">
      <c r="A213" s="1"/>
      <c r="B213" s="1"/>
      <c r="C213" s="1"/>
      <c r="D213" s="1"/>
    </row>
    <row r="214" spans="1:4" x14ac:dyDescent="0.25">
      <c r="A214" s="1"/>
      <c r="B214" s="1"/>
      <c r="C214" s="1"/>
      <c r="D214" s="1"/>
    </row>
    <row r="215" spans="1:4" x14ac:dyDescent="0.25">
      <c r="A215" s="1"/>
      <c r="B215" s="1"/>
      <c r="C215" s="1"/>
      <c r="D215" s="1"/>
    </row>
  </sheetData>
  <conditionalFormatting sqref="Q31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8740157499999996" bottom="0.78740157499999996" header="0.3" footer="0.3"/>
  <pageSetup paperSize="9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Plot Values</vt:lpstr>
      <vt:lpstr>VBA</vt:lpstr>
      <vt:lpstr>Auswertung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Thiery</dc:creator>
  <cp:lastModifiedBy>student</cp:lastModifiedBy>
  <cp:lastPrinted>2011-03-20T15:11:43Z</cp:lastPrinted>
  <dcterms:created xsi:type="dcterms:W3CDTF">2011-03-19T10:43:05Z</dcterms:created>
  <dcterms:modified xsi:type="dcterms:W3CDTF">2011-04-21T08:28:18Z</dcterms:modified>
</cp:coreProperties>
</file>